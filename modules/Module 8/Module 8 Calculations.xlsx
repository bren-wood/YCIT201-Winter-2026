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U:\Academic\Teaching\McGill\Course Materials\SCS\2026 Winter\YCIT201\Class Materials (Temp)\2026-04-09\"/>
    </mc:Choice>
  </mc:AlternateContent>
  <xr:revisionPtr revIDLastSave="0" documentId="13_ncr:1_{AE56722B-9B24-48D1-97A4-ED6C09E0F2D7}" xr6:coauthVersionLast="47" xr6:coauthVersionMax="47" xr10:uidLastSave="{00000000-0000-0000-0000-000000000000}"/>
  <bookViews>
    <workbookView xWindow="-98" yWindow="-98" windowWidth="28996" windowHeight="15675" activeTab="4" xr2:uid="{29154256-8F6C-42CE-9023-6253F54E2B13}"/>
  </bookViews>
  <sheets>
    <sheet name="8ab" sheetId="1" r:id="rId1"/>
    <sheet name="8c" sheetId="2" r:id="rId2"/>
    <sheet name="19" sheetId="4" r:id="rId3"/>
    <sheet name="24" sheetId="8" r:id="rId4"/>
    <sheet name="28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9" l="1"/>
  <c r="N6" i="9"/>
  <c r="N7" i="9"/>
  <c r="N8" i="9"/>
  <c r="N9" i="9"/>
  <c r="N10" i="9"/>
  <c r="N11" i="9"/>
  <c r="N12" i="9"/>
  <c r="N13" i="9"/>
  <c r="N14" i="9"/>
  <c r="N15" i="9"/>
  <c r="O15" i="9" s="1"/>
  <c r="N16" i="9"/>
  <c r="N17" i="9"/>
  <c r="O17" i="9" s="1"/>
  <c r="N18" i="9"/>
  <c r="O18" i="9" s="1"/>
  <c r="N19" i="9"/>
  <c r="O19" i="9" s="1"/>
  <c r="N20" i="9"/>
  <c r="O20" i="9" s="1"/>
  <c r="N21" i="9"/>
  <c r="N22" i="9"/>
  <c r="O22" i="9" s="1"/>
  <c r="N23" i="9"/>
  <c r="N24" i="9"/>
  <c r="O24" i="9" s="1"/>
  <c r="N25" i="9"/>
  <c r="N26" i="9"/>
  <c r="N27" i="9"/>
  <c r="N4" i="9"/>
  <c r="O4" i="9" s="1"/>
  <c r="O5" i="9"/>
  <c r="O6" i="9"/>
  <c r="O7" i="9"/>
  <c r="O8" i="9"/>
  <c r="O9" i="9"/>
  <c r="O10" i="9"/>
  <c r="O11" i="9"/>
  <c r="O12" i="9"/>
  <c r="O13" i="9"/>
  <c r="O14" i="9"/>
  <c r="O16" i="9"/>
  <c r="O21" i="9"/>
  <c r="O23" i="9"/>
  <c r="O25" i="9"/>
  <c r="O26" i="9"/>
  <c r="O27" i="9"/>
  <c r="M29" i="9"/>
  <c r="L4" i="9"/>
  <c r="L5" i="9"/>
  <c r="L6" i="9"/>
  <c r="L7" i="9"/>
  <c r="L8" i="9"/>
  <c r="L9" i="9"/>
  <c r="M9" i="9" s="1"/>
  <c r="L10" i="9"/>
  <c r="M10" i="9" s="1"/>
  <c r="L11" i="9"/>
  <c r="L12" i="9"/>
  <c r="L13" i="9"/>
  <c r="L14" i="9"/>
  <c r="L15" i="9"/>
  <c r="L16" i="9"/>
  <c r="L17" i="9"/>
  <c r="M17" i="9" s="1"/>
  <c r="L18" i="9"/>
  <c r="M18" i="9" s="1"/>
  <c r="L19" i="9"/>
  <c r="L20" i="9"/>
  <c r="L21" i="9"/>
  <c r="L22" i="9"/>
  <c r="L23" i="9"/>
  <c r="L24" i="9"/>
  <c r="L25" i="9"/>
  <c r="L26" i="9"/>
  <c r="M26" i="9" s="1"/>
  <c r="L27" i="9"/>
  <c r="L3" i="9"/>
  <c r="M4" i="9"/>
  <c r="M5" i="9"/>
  <c r="M6" i="9"/>
  <c r="M7" i="9"/>
  <c r="M8" i="9"/>
  <c r="M20" i="9"/>
  <c r="M21" i="9"/>
  <c r="M22" i="9"/>
  <c r="M23" i="9"/>
  <c r="M24" i="9"/>
  <c r="M25" i="9"/>
  <c r="M3" i="9"/>
  <c r="M11" i="9"/>
  <c r="M12" i="9"/>
  <c r="M13" i="9"/>
  <c r="M14" i="9"/>
  <c r="M15" i="9"/>
  <c r="M16" i="9"/>
  <c r="M19" i="9"/>
  <c r="M27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3" i="9"/>
  <c r="O29" i="9" l="1"/>
  <c r="Q29" i="9" s="1"/>
  <c r="I4" i="2" l="1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3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3" i="1"/>
</calcChain>
</file>

<file path=xl/sharedStrings.xml><?xml version="1.0" encoding="utf-8"?>
<sst xmlns="http://schemas.openxmlformats.org/spreadsheetml/2006/main" count="482" uniqueCount="105">
  <si>
    <t>Year</t>
  </si>
  <si>
    <t>Make</t>
  </si>
  <si>
    <t>Model</t>
  </si>
  <si>
    <t>Rating</t>
  </si>
  <si>
    <t>Price</t>
  </si>
  <si>
    <t>1960–1963</t>
  </si>
  <si>
    <t>1962–1964</t>
  </si>
  <si>
    <t>1967–1968</t>
  </si>
  <si>
    <t>1968–1973</t>
  </si>
  <si>
    <t>1962–1967</t>
  </si>
  <si>
    <t>1969–1971</t>
  </si>
  <si>
    <t>1971–1974</t>
  </si>
  <si>
    <t>1951–1954</t>
  </si>
  <si>
    <t>1950–1953</t>
  </si>
  <si>
    <t>1956–1957</t>
  </si>
  <si>
    <t>Chevrolet</t>
  </si>
  <si>
    <t>Ferrari</t>
  </si>
  <si>
    <t>Jaguar</t>
  </si>
  <si>
    <t>Corvette</t>
  </si>
  <si>
    <t>XKSS</t>
  </si>
  <si>
    <t>Corvette 265/225-hp</t>
  </si>
  <si>
    <t>Corvette coupe (340-bhp 4-speed)</t>
  </si>
  <si>
    <t>Corvette coupe Silver Anniversary</t>
  </si>
  <si>
    <t>250 GTE 2+2</t>
  </si>
  <si>
    <t>250 GTL Lusso</t>
  </si>
  <si>
    <t>250 GTO</t>
  </si>
  <si>
    <t>275 GTB/4 NART Spyder</t>
  </si>
  <si>
    <t>365 GTB/4 Daytona</t>
  </si>
  <si>
    <t>E-type OTS</t>
  </si>
  <si>
    <t>E-type Series II OTS</t>
  </si>
  <si>
    <t>E-type Series III OTS</t>
  </si>
  <si>
    <t>XK 120 roadster (steel)</t>
  </si>
  <si>
    <t>XK C-type</t>
  </si>
  <si>
    <t>Non-linear relationship (curve)</t>
  </si>
  <si>
    <t>Rating_Sqr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</si>
  <si>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</si>
  <si>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</si>
  <si>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</si>
  <si>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</si>
  <si>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</si>
  <si>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</si>
  <si>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</si>
  <si>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</si>
  <si>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</si>
  <si>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</si>
  <si>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</si>
  <si>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</si>
  <si>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</si>
  <si>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</si>
  <si>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</si>
  <si>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</si>
  <si>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</si>
  <si>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</si>
  <si>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</si>
  <si>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</si>
  <si>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</si>
  <si>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</si>
  <si>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</si>
  <si>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</si>
  <si>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b</t>
  </si>
  <si>
    <t>a</t>
  </si>
  <si>
    <t>LogRating</t>
  </si>
  <si>
    <t>LogPrice</t>
  </si>
  <si>
    <t>RESIDUAL OUTPUT</t>
  </si>
  <si>
    <t>Observation</t>
  </si>
  <si>
    <t>Predicted LogPrice</t>
  </si>
  <si>
    <t>Residuals</t>
  </si>
  <si>
    <t>Standard Residuals</t>
  </si>
  <si>
    <t>PROBABILITY OUTPUT</t>
  </si>
  <si>
    <t>Percentile</t>
  </si>
  <si>
    <t>Risk</t>
  </si>
  <si>
    <t>Age</t>
  </si>
  <si>
    <t>Pressure</t>
  </si>
  <si>
    <t>Smoker</t>
  </si>
  <si>
    <t>Paint Drying Times</t>
  </si>
  <si>
    <t>Paint 1</t>
  </si>
  <si>
    <t>Paint 2</t>
  </si>
  <si>
    <t>Paint 3</t>
  </si>
  <si>
    <t>Paint 4</t>
  </si>
  <si>
    <t>d1</t>
  </si>
  <si>
    <t>d2</t>
  </si>
  <si>
    <t>d3</t>
  </si>
  <si>
    <t>Paint</t>
  </si>
  <si>
    <t>P1</t>
  </si>
  <si>
    <t>P2</t>
  </si>
  <si>
    <t>P3</t>
  </si>
  <si>
    <t>P4</t>
  </si>
  <si>
    <t>y</t>
  </si>
  <si>
    <t>Sales</t>
  </si>
  <si>
    <t>Time</t>
  </si>
  <si>
    <t>Poten</t>
  </si>
  <si>
    <t>AdvExp</t>
  </si>
  <si>
    <t>Share</t>
  </si>
  <si>
    <t>Change</t>
  </si>
  <si>
    <t>Accounts</t>
  </si>
  <si>
    <t>Work</t>
  </si>
  <si>
    <t>y-predict</t>
  </si>
  <si>
    <t>error (et)</t>
  </si>
  <si>
    <t>error^2</t>
  </si>
  <si>
    <t>et-e(t-1)</t>
  </si>
  <si>
    <t>et-e(t-1)^2</t>
  </si>
  <si>
    <t>Numerator</t>
  </si>
  <si>
    <t>Denom</t>
  </si>
  <si>
    <t>d=</t>
  </si>
  <si>
    <t>B1 = B2 = B3 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</si>
</sst>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Continuous"/>
    </xf>
    <xf numFmtId="0" fontId="0" fillId="2" borderId="0" xfId="0" applyFill="1"/>
    <xf numFmtId="0" fontId="0" fillId="3" borderId="0" xfId="0" applyFill="1"/>
    <xf numFmtId="0" fontId="0" fillId="3" borderId="1" xfId="0" applyFill="1" applyBorder="1"/>
    <xf numFmtId="0" fontId="4" fillId="0" borderId="0" xfId="0" applyFont="1" applyAlignment="1">
      <alignment horizontal="center"/>
    </xf>
    <xf numFmtId="0" fontId="4" fillId="0" borderId="0" xfId="0" applyFont="1"/>
    <xf numFmtId="2" fontId="0" fillId="0" borderId="0" xfId="0" applyNumberFormat="1" applyAlignment="1">
      <alignment horizontal="center"/>
    </xf>
    <xf numFmtId="0" fontId="4" fillId="3" borderId="0" xfId="0" applyFont="1" applyFill="1" applyAlignment="1">
      <alignment horizontal="center"/>
    </xf>
    <xf numFmtId="2" fontId="0" fillId="0" borderId="0" xfId="0" applyNumberFormat="1"/>
    <xf numFmtId="2" fontId="4" fillId="0" borderId="0" xfId="0" applyNumberFormat="1" applyFont="1" applyAlignment="1">
      <alignment horizontal="center"/>
    </xf>
    <xf numFmtId="2" fontId="4" fillId="3" borderId="0" xfId="0" applyNumberFormat="1" applyFont="1" applyFill="1" applyAlignment="1">
      <alignment horizontal="center"/>
    </xf>
    <xf numFmtId="0" fontId="5" fillId="0" borderId="0" xfId="0" applyFont="1"/>
    <xf numFmtId="0" fontId="6" fillId="0" borderId="2" xfId="0" applyFont="1" applyBorder="1" applyAlignment="1">
      <alignment horizontal="centerContinuous"/>
    </xf>
    <xf numFmtId="0" fontId="5" fillId="0" borderId="1" xfId="0" applyFont="1" applyBorder="1"/>
    <xf numFmtId="0" fontId="6" fillId="0" borderId="2" xfId="0" applyFont="1" applyBorder="1" applyAlignment="1">
      <alignment horizontal="center"/>
    </xf>
    <xf numFmtId="2" fontId="4" fillId="4" borderId="0" xfId="0" applyNumberFormat="1" applyFont="1" applyFill="1" applyAlignment="1">
      <alignment horizontal="center"/>
    </xf>
    <xf numFmtId="2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  <xf numFmtId="2" fontId="4" fillId="5" borderId="0" xfId="0" applyNumberFormat="1" applyFont="1" applyFill="1" applyAlignment="1">
      <alignment horizontal="center"/>
    </xf>
    <xf numFmtId="2" fontId="0" fillId="5" borderId="0" xfId="0" applyNumberFormat="1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Price for Rating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'8ab'!$E$3:$E$17</c:f>
              <c:numCache>
                <c:formatCode>General</c:formatCode>
                <c:ptCount val="15"/>
                <c:pt idx="0">
                  <c:v>18</c:v>
                </c:pt>
                <c:pt idx="1">
                  <c:v>19</c:v>
                </c:pt>
                <c:pt idx="2">
                  <c:v>18</c:v>
                </c:pt>
                <c:pt idx="3">
                  <c:v>19</c:v>
                </c:pt>
                <c:pt idx="4">
                  <c:v>16</c:v>
                </c:pt>
                <c:pt idx="5">
                  <c:v>19</c:v>
                </c:pt>
                <c:pt idx="6">
                  <c:v>18</c:v>
                </c:pt>
                <c:pt idx="7">
                  <c:v>17</c:v>
                </c:pt>
                <c:pt idx="8">
                  <c:v>17</c:v>
                </c:pt>
                <c:pt idx="9">
                  <c:v>15</c:v>
                </c:pt>
                <c:pt idx="10">
                  <c:v>14</c:v>
                </c:pt>
                <c:pt idx="11">
                  <c:v>16</c:v>
                </c:pt>
                <c:pt idx="12">
                  <c:v>17</c:v>
                </c:pt>
                <c:pt idx="13">
                  <c:v>16</c:v>
                </c:pt>
                <c:pt idx="14">
                  <c:v>13</c:v>
                </c:pt>
              </c:numCache>
            </c:numRef>
          </c:xVal>
          <c:yVal>
            <c:numRef>
              <c:f>'8ab'!$G$3:$G$17</c:f>
              <c:numCache>
                <c:formatCode>_("$"* #,##0.00_);_("$"* \(#,##0.00\);_("$"* "-"??_);_(@_)</c:formatCode>
                <c:ptCount val="15"/>
                <c:pt idx="0">
                  <c:v>1600</c:v>
                </c:pt>
                <c:pt idx="1">
                  <c:v>4000</c:v>
                </c:pt>
                <c:pt idx="2">
                  <c:v>1000</c:v>
                </c:pt>
                <c:pt idx="3">
                  <c:v>1300</c:v>
                </c:pt>
                <c:pt idx="4">
                  <c:v>350</c:v>
                </c:pt>
                <c:pt idx="5">
                  <c:v>2650</c:v>
                </c:pt>
                <c:pt idx="6">
                  <c:v>375</c:v>
                </c:pt>
                <c:pt idx="7">
                  <c:v>450</c:v>
                </c:pt>
                <c:pt idx="8">
                  <c:v>140</c:v>
                </c:pt>
                <c:pt idx="9">
                  <c:v>77.5</c:v>
                </c:pt>
                <c:pt idx="10">
                  <c:v>62</c:v>
                </c:pt>
                <c:pt idx="11">
                  <c:v>125</c:v>
                </c:pt>
                <c:pt idx="12">
                  <c:v>400</c:v>
                </c:pt>
                <c:pt idx="13">
                  <c:v>250</c:v>
                </c:pt>
                <c:pt idx="14">
                  <c:v>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35-48B3-915D-F084DBE71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9379071"/>
        <c:axId val="992490943"/>
      </c:scatterChart>
      <c:valAx>
        <c:axId val="849379071"/>
        <c:scaling>
          <c:orientation val="minMax"/>
          <c:min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Rating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490943"/>
        <c:crosses val="autoZero"/>
        <c:crossBetween val="midCat"/>
      </c:valAx>
      <c:valAx>
        <c:axId val="99249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379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'8c'!$F$2:$F$17</c:f>
              <c:strCache>
                <c:ptCount val="16"/>
                <c:pt idx="0">
                  <c:v>LogRating</c:v>
                </c:pt>
                <c:pt idx="1">
                  <c:v>1.255272505</c:v>
                </c:pt>
                <c:pt idx="2">
                  <c:v>1.278753601</c:v>
                </c:pt>
                <c:pt idx="3">
                  <c:v>1.255272505</c:v>
                </c:pt>
                <c:pt idx="4">
                  <c:v>1.278753601</c:v>
                </c:pt>
                <c:pt idx="5">
                  <c:v>1.204119983</c:v>
                </c:pt>
                <c:pt idx="6">
                  <c:v>1.278753601</c:v>
                </c:pt>
                <c:pt idx="7">
                  <c:v>1.255272505</c:v>
                </c:pt>
                <c:pt idx="8">
                  <c:v>1.230448921</c:v>
                </c:pt>
                <c:pt idx="9">
                  <c:v>1.230448921</c:v>
                </c:pt>
                <c:pt idx="10">
                  <c:v>1.176091259</c:v>
                </c:pt>
                <c:pt idx="11">
                  <c:v>1.146128036</c:v>
                </c:pt>
                <c:pt idx="12">
                  <c:v>1.204119983</c:v>
                </c:pt>
                <c:pt idx="13">
                  <c:v>1.230448921</c:v>
                </c:pt>
                <c:pt idx="14">
                  <c:v>1.204119983</c:v>
                </c:pt>
                <c:pt idx="15">
                  <c:v>1.113943352</c:v>
                </c:pt>
              </c:strCache>
            </c:strRef>
          </c:xVal>
          <c:yVal>
            <c:numRef>
              <c:f>'8c'!$I$3:$I$17</c:f>
              <c:numCache>
                <c:formatCode>General</c:formatCode>
                <c:ptCount val="15"/>
                <c:pt idx="0">
                  <c:v>3.2041199826559246</c:v>
                </c:pt>
                <c:pt idx="1">
                  <c:v>3.6020599913279625</c:v>
                </c:pt>
                <c:pt idx="2">
                  <c:v>3</c:v>
                </c:pt>
                <c:pt idx="3">
                  <c:v>3.1139433523068369</c:v>
                </c:pt>
                <c:pt idx="4">
                  <c:v>2.5440680443502757</c:v>
                </c:pt>
                <c:pt idx="5">
                  <c:v>3.4232458739368079</c:v>
                </c:pt>
                <c:pt idx="6">
                  <c:v>2.5740312677277188</c:v>
                </c:pt>
                <c:pt idx="7">
                  <c:v>2.6532125137753435</c:v>
                </c:pt>
                <c:pt idx="8">
                  <c:v>2.1461280356782382</c:v>
                </c:pt>
                <c:pt idx="9">
                  <c:v>1.8893017025063104</c:v>
                </c:pt>
                <c:pt idx="10">
                  <c:v>1.7923916894982539</c:v>
                </c:pt>
                <c:pt idx="11">
                  <c:v>2.0969100130080562</c:v>
                </c:pt>
                <c:pt idx="12">
                  <c:v>2.6020599913279625</c:v>
                </c:pt>
                <c:pt idx="13">
                  <c:v>2.3979400086720375</c:v>
                </c:pt>
                <c:pt idx="14">
                  <c:v>1.8450980400142569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2D-4C43-9EAE-E8D54A8FB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8229263"/>
        <c:axId val="858295135"/>
      </c:scatterChart>
      <c:valAx>
        <c:axId val="988229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295135"/>
        <c:crosses val="autoZero"/>
        <c:crossBetween val="midCat"/>
      </c:valAx>
      <c:valAx>
        <c:axId val="85829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229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15</xdr:col>
      <xdr:colOff>457200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BDB5C2-F08F-A085-E789-5D4759704D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466725</xdr:colOff>
      <xdr:row>0</xdr:row>
      <xdr:rowOff>140493</xdr:rowOff>
    </xdr:from>
    <xdr:to>
      <xdr:col>16</xdr:col>
      <xdr:colOff>457201</xdr:colOff>
      <xdr:row>16</xdr:row>
      <xdr:rowOff>140493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F8B75B-49CC-D891-336A-9199B3193C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381001</xdr:colOff>
      <xdr:row>17</xdr:row>
      <xdr:rowOff>119062</xdr:rowOff>
    </xdr:from>
    <xdr:to>
      <xdr:col>17</xdr:col>
      <xdr:colOff>338138</xdr:colOff>
      <xdr:row>23</xdr:row>
      <xdr:rowOff>177298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A00246-3B60-89EE-BBAA-1705FA5F9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34876" y="3038475"/>
          <a:ext cx="1662112" cy="1115512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18</xdr:col>
      <xdr:colOff>197303</xdr:colOff>
      <xdr:row>1</xdr:row>
      <xdr:rowOff>108858</xdr:rowOff>
    </xdr:from>
    <xdr:to>
      <xdr:col>29</xdr:col>
      <xdr:colOff>270837</xdr:colOff>
      <xdr:row>29</xdr:row>
      <xdr:rowOff>112978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9CBF81-541A-EE74-71C8-B6E0D8BE7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24857" y="292555"/>
          <a:ext cx="7496230" cy="5229263"/>
        </a:xfrm>
        <a:prstGeom prst="rect">
          <a:avLst/>
        </a:prstGeom>
      </xdr:spPr>
    </xdr:pic>
    <xdr:clientData/>
  </xdr:twoCellAnchor>
  <xdr:twoCellAnchor editAs="oneCell">
    <xdr:from>
      <xdr:col>18</xdr:col>
      <xdr:colOff>280129</xdr:colOff>
      <xdr:row>31</xdr:row>
      <xdr:rowOff>15086</xdr:rowOff>
    </xdr:from>
    <xdr:to>
      <xdr:col>29</xdr:col>
      <xdr:colOff>77732</xdr:colOff>
      <xdr:row>41</xdr:row>
      <xdr:rowOff>35511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EB30C65-AD73-2199-5E10-BC2B769CC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76032" y="5750793"/>
          <a:ext cx="7210537" cy="18508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FE736-F717-49A6-B87D-E9D3DC97DC3A}">
  <dimension ref="B2:AB41"/>
  <sheetViews>
    <sheetView workbookViewId="0">
      <selection activeCell="U27" sqref="U27"/>
    </sheetView>
  </sheetViews>
  <sheetFormatPr defaultRowHeight="14.25" x14ac:dyDescent="0.45"/>
  <cols>
    <col min="2" max="2" width="12.86328125" style="1" customWidth="1"/>
    <col min="3" max="3" width="10.46484375" style="1" customWidth="1"/>
    <col min="4" max="4" width="30.33203125" style="1" customWidth="1"/>
    <col min="5" max="6" width="9" style="2"/>
    <col min="7" max="7" width="9.9296875" style="2" bestFit="1" customWidth="1"/>
    <col min="8" max="8" width="9.9296875" style="2" customWidth="1"/>
  </cols>
  <sheetData>
    <row r="2" spans="2:9" x14ac:dyDescent="0.45">
      <c r="B2" s="1" t="s">
        <v>0</v>
      </c>
      <c r="C2" s="1" t="s">
        <v>1</v>
      </c>
      <c r="D2" s="1" t="s">
        <v>2</v>
      </c>
      <c r="E2" s="2" t="s">
        <v>3</v>
      </c>
      <c r="F2" s="2" t="s">
        <v>34</v>
      </c>
      <c r="G2" s="2" t="s">
        <v>4</v>
      </c>
    </row>
    <row r="3" spans="2:9" x14ac:dyDescent="0.45">
      <c r="B3" s="1">
        <v>1984</v>
      </c>
      <c r="C3" s="1" t="s">
        <v>15</v>
      </c>
      <c r="D3" s="1" t="s">
        <v>18</v>
      </c>
      <c r="E3" s="2">
        <v>18</v>
      </c>
      <c r="F3" s="2">
        <f>E3^2</f>
        <v>324</v>
      </c>
      <c r="G3" s="3">
        <v>1600</v>
      </c>
      <c r="H3" s="3"/>
      <c r="I3" s="7" t="s">
        <v>60</v>
      </c>
    </row>
    <row r="4" spans="2:9" x14ac:dyDescent="0.45">
      <c r="B4" s="1">
        <v>1956</v>
      </c>
      <c r="C4" s="1" t="s">
        <v>15</v>
      </c>
      <c r="D4" s="1" t="s">
        <v>20</v>
      </c>
      <c r="E4" s="2">
        <v>19</v>
      </c>
      <c r="F4" s="2">
        <f t="shared" ref="F4:F17" si="0">E4^2</f>
        <v>361</v>
      </c>
      <c r="G4" s="3">
        <v>4000</v>
      </c>
      <c r="H4" s="3"/>
    </row>
    <row r="5" spans="2:9" x14ac:dyDescent="0.45">
      <c r="B5" s="1">
        <v>1963</v>
      </c>
      <c r="C5" s="1" t="s">
        <v>15</v>
      </c>
      <c r="D5" s="1" t="s">
        <v>21</v>
      </c>
      <c r="E5" s="2">
        <v>18</v>
      </c>
      <c r="F5" s="2">
        <f t="shared" si="0"/>
        <v>324</v>
      </c>
      <c r="G5" s="3">
        <v>1000</v>
      </c>
      <c r="H5" s="3"/>
    </row>
    <row r="6" spans="2:9" x14ac:dyDescent="0.45">
      <c r="B6" s="1">
        <v>1978</v>
      </c>
      <c r="C6" s="1" t="s">
        <v>15</v>
      </c>
      <c r="D6" s="1" t="s">
        <v>22</v>
      </c>
      <c r="E6" s="2">
        <v>19</v>
      </c>
      <c r="F6" s="2">
        <f t="shared" si="0"/>
        <v>361</v>
      </c>
      <c r="G6" s="3">
        <v>1300</v>
      </c>
      <c r="H6" s="3"/>
    </row>
    <row r="7" spans="2:9" x14ac:dyDescent="0.45">
      <c r="B7" s="1" t="s">
        <v>5</v>
      </c>
      <c r="C7" s="1" t="s">
        <v>16</v>
      </c>
      <c r="D7" s="1" t="s">
        <v>23</v>
      </c>
      <c r="E7" s="2">
        <v>16</v>
      </c>
      <c r="F7" s="2">
        <f t="shared" si="0"/>
        <v>256</v>
      </c>
      <c r="G7" s="3">
        <v>350</v>
      </c>
      <c r="H7" s="3"/>
    </row>
    <row r="8" spans="2:9" x14ac:dyDescent="0.45">
      <c r="B8" s="1" t="s">
        <v>6</v>
      </c>
      <c r="C8" s="1" t="s">
        <v>16</v>
      </c>
      <c r="D8" s="1" t="s">
        <v>24</v>
      </c>
      <c r="E8" s="2">
        <v>19</v>
      </c>
      <c r="F8" s="2">
        <f t="shared" si="0"/>
        <v>361</v>
      </c>
      <c r="G8" s="3">
        <v>2650</v>
      </c>
      <c r="H8" s="3"/>
    </row>
    <row r="9" spans="2:9" x14ac:dyDescent="0.45">
      <c r="B9" s="1">
        <v>1962</v>
      </c>
      <c r="C9" s="1" t="s">
        <v>16</v>
      </c>
      <c r="D9" s="1" t="s">
        <v>25</v>
      </c>
      <c r="E9" s="2">
        <v>18</v>
      </c>
      <c r="F9" s="2">
        <f t="shared" si="0"/>
        <v>324</v>
      </c>
      <c r="G9" s="3">
        <v>375</v>
      </c>
      <c r="H9" s="3"/>
    </row>
    <row r="10" spans="2:9" x14ac:dyDescent="0.45">
      <c r="B10" s="1" t="s">
        <v>7</v>
      </c>
      <c r="C10" s="1" t="s">
        <v>16</v>
      </c>
      <c r="D10" s="1" t="s">
        <v>26</v>
      </c>
      <c r="E10" s="2">
        <v>17</v>
      </c>
      <c r="F10" s="2">
        <f t="shared" si="0"/>
        <v>289</v>
      </c>
      <c r="G10" s="3">
        <v>450</v>
      </c>
      <c r="H10" s="3"/>
    </row>
    <row r="11" spans="2:9" x14ac:dyDescent="0.45">
      <c r="B11" s="1" t="s">
        <v>8</v>
      </c>
      <c r="C11" s="1" t="s">
        <v>16</v>
      </c>
      <c r="D11" s="1" t="s">
        <v>27</v>
      </c>
      <c r="E11" s="2">
        <v>17</v>
      </c>
      <c r="F11" s="2">
        <f t="shared" si="0"/>
        <v>289</v>
      </c>
      <c r="G11" s="3">
        <v>140</v>
      </c>
      <c r="H11" s="3"/>
    </row>
    <row r="12" spans="2:9" x14ac:dyDescent="0.45">
      <c r="B12" s="1" t="s">
        <v>9</v>
      </c>
      <c r="C12" s="1" t="s">
        <v>17</v>
      </c>
      <c r="D12" s="1" t="s">
        <v>28</v>
      </c>
      <c r="E12" s="2">
        <v>15</v>
      </c>
      <c r="F12" s="2">
        <f t="shared" si="0"/>
        <v>225</v>
      </c>
      <c r="G12" s="3">
        <v>77.5</v>
      </c>
      <c r="H12" s="3"/>
    </row>
    <row r="13" spans="2:9" x14ac:dyDescent="0.45">
      <c r="B13" s="1" t="s">
        <v>10</v>
      </c>
      <c r="C13" s="1" t="s">
        <v>17</v>
      </c>
      <c r="D13" s="1" t="s">
        <v>29</v>
      </c>
      <c r="E13" s="2">
        <v>14</v>
      </c>
      <c r="F13" s="2">
        <f t="shared" si="0"/>
        <v>196</v>
      </c>
      <c r="G13" s="3">
        <v>62</v>
      </c>
      <c r="H13" s="3"/>
    </row>
    <row r="14" spans="2:9" x14ac:dyDescent="0.45">
      <c r="B14" s="1" t="s">
        <v>11</v>
      </c>
      <c r="C14" s="1" t="s">
        <v>17</v>
      </c>
      <c r="D14" s="1" t="s">
        <v>30</v>
      </c>
      <c r="E14" s="2">
        <v>16</v>
      </c>
      <c r="F14" s="2">
        <f t="shared" si="0"/>
        <v>256</v>
      </c>
      <c r="G14" s="3">
        <v>125</v>
      </c>
      <c r="H14" s="3"/>
    </row>
    <row r="15" spans="2:9" x14ac:dyDescent="0.45">
      <c r="B15" s="1" t="s">
        <v>12</v>
      </c>
      <c r="C15" s="1" t="s">
        <v>17</v>
      </c>
      <c r="D15" s="1" t="s">
        <v>31</v>
      </c>
      <c r="E15" s="2">
        <v>17</v>
      </c>
      <c r="F15" s="2">
        <f t="shared" si="0"/>
        <v>289</v>
      </c>
      <c r="G15" s="3">
        <v>400</v>
      </c>
      <c r="H15" s="3"/>
    </row>
    <row r="16" spans="2:9" x14ac:dyDescent="0.45">
      <c r="B16" s="1" t="s">
        <v>13</v>
      </c>
      <c r="C16" s="1" t="s">
        <v>17</v>
      </c>
      <c r="D16" s="1" t="s">
        <v>32</v>
      </c>
      <c r="E16" s="2">
        <v>16</v>
      </c>
      <c r="F16" s="2">
        <f t="shared" si="0"/>
        <v>256</v>
      </c>
      <c r="G16" s="3">
        <v>250</v>
      </c>
      <c r="H16" s="3"/>
    </row>
    <row r="17" spans="2:21" x14ac:dyDescent="0.45">
      <c r="B17" s="1" t="s">
        <v>14</v>
      </c>
      <c r="C17" s="1" t="s">
        <v>17</v>
      </c>
      <c r="D17" s="1" t="s">
        <v>19</v>
      </c>
      <c r="E17" s="2">
        <v>13</v>
      </c>
      <c r="F17" s="2">
        <f t="shared" si="0"/>
        <v>169</v>
      </c>
      <c r="G17" s="3">
        <v>70</v>
      </c>
      <c r="H17" s="3"/>
    </row>
    <row r="20" spans="2:21" x14ac:dyDescent="0.45">
      <c r="J20" t="s">
        <v>33</v>
      </c>
    </row>
    <row r="23" spans="2:21" x14ac:dyDescent="0.45">
      <c r="I23" s="7" t="s">
        <v>59</v>
      </c>
      <c r="J23" t="s">
        <v>35</v>
      </c>
      <c r="T23" t="s">
        <v>35</v>
      </c>
    </row>
    <row r="24" spans="2:21" ht="14.65" thickBot="1" x14ac:dyDescent="0.5"/>
    <row r="25" spans="2:21" x14ac:dyDescent="0.45">
      <c r="J25" s="6" t="s">
        <v>36</v>
      </c>
      <c r="K25" s="6"/>
      <c r="T25" s="30" t="s">
        <v>36</v>
      </c>
      <c r="U25" s="30"/>
    </row>
    <row r="26" spans="2:21" x14ac:dyDescent="0.45">
      <c r="J26" t="s">
        <v>37</v>
      </c>
      <c r="K26">
        <v>0.83802987386569949</v>
      </c>
      <c r="T26" s="27" t="s">
        <v>37</v>
      </c>
      <c r="U26" s="27">
        <v>0.69540427743610944</v>
      </c>
    </row>
    <row r="27" spans="2:21" x14ac:dyDescent="0.45">
      <c r="J27" t="s">
        <v>38</v>
      </c>
      <c r="K27">
        <v>0.7022940694913602</v>
      </c>
      <c r="T27" s="27" t="s">
        <v>38</v>
      </c>
      <c r="U27" s="27">
        <v>0.48358710907643748</v>
      </c>
    </row>
    <row r="28" spans="2:21" x14ac:dyDescent="0.45">
      <c r="J28" t="s">
        <v>39</v>
      </c>
      <c r="K28">
        <v>0.65267641440658686</v>
      </c>
      <c r="T28" s="27" t="s">
        <v>39</v>
      </c>
      <c r="U28" s="27">
        <v>0.44386304054385572</v>
      </c>
    </row>
    <row r="29" spans="2:21" x14ac:dyDescent="0.45">
      <c r="J29" t="s">
        <v>40</v>
      </c>
      <c r="K29">
        <v>668.31169568869643</v>
      </c>
      <c r="T29" s="27" t="s">
        <v>40</v>
      </c>
      <c r="U29" s="27">
        <v>845.67365753042873</v>
      </c>
    </row>
    <row r="30" spans="2:21" ht="14.65" thickBot="1" x14ac:dyDescent="0.5">
      <c r="J30" s="4" t="s">
        <v>41</v>
      </c>
      <c r="K30" s="4">
        <v>15</v>
      </c>
      <c r="T30" s="28" t="s">
        <v>41</v>
      </c>
      <c r="U30" s="28">
        <v>15</v>
      </c>
    </row>
    <row r="32" spans="2:21" ht="14.65" thickBot="1" x14ac:dyDescent="0.5">
      <c r="J32" t="s">
        <v>42</v>
      </c>
      <c r="T32" t="s">
        <v>42</v>
      </c>
    </row>
    <row r="33" spans="10:28" x14ac:dyDescent="0.45">
      <c r="J33" s="5"/>
      <c r="K33" s="5" t="s">
        <v>47</v>
      </c>
      <c r="L33" s="5" t="s">
        <v>48</v>
      </c>
      <c r="M33" s="5" t="s">
        <v>49</v>
      </c>
      <c r="N33" s="5" t="s">
        <v>50</v>
      </c>
      <c r="O33" s="5" t="s">
        <v>51</v>
      </c>
      <c r="T33" s="29"/>
      <c r="U33" s="29" t="s">
        <v>47</v>
      </c>
      <c r="V33" s="29" t="s">
        <v>48</v>
      </c>
      <c r="W33" s="29" t="s">
        <v>49</v>
      </c>
      <c r="X33" s="29" t="s">
        <v>50</v>
      </c>
      <c r="Y33" s="29" t="s">
        <v>51</v>
      </c>
    </row>
    <row r="34" spans="10:28" x14ac:dyDescent="0.45">
      <c r="J34" t="s">
        <v>43</v>
      </c>
      <c r="K34">
        <v>2</v>
      </c>
      <c r="L34">
        <v>12643603.962201729</v>
      </c>
      <c r="M34">
        <v>6321801.9811008647</v>
      </c>
      <c r="N34">
        <v>14.154116479133666</v>
      </c>
      <c r="O34">
        <v>6.9618540931646884E-4</v>
      </c>
      <c r="T34" s="27" t="s">
        <v>43</v>
      </c>
      <c r="U34" s="27">
        <v>1</v>
      </c>
      <c r="V34" s="27">
        <v>8706159.0778017305</v>
      </c>
      <c r="W34" s="27">
        <v>8706159.0778017305</v>
      </c>
      <c r="X34" s="27">
        <v>12.173655089729762</v>
      </c>
      <c r="Y34" s="27">
        <v>3.996905431663287E-3</v>
      </c>
    </row>
    <row r="35" spans="10:28" x14ac:dyDescent="0.45">
      <c r="J35" t="s">
        <v>44</v>
      </c>
      <c r="K35">
        <v>12</v>
      </c>
      <c r="L35">
        <v>5359686.2711316086</v>
      </c>
      <c r="M35">
        <v>446640.52259430074</v>
      </c>
      <c r="T35" s="27" t="s">
        <v>44</v>
      </c>
      <c r="U35" s="27">
        <v>13</v>
      </c>
      <c r="V35" s="27">
        <v>9297131.1555316076</v>
      </c>
      <c r="W35" s="27">
        <v>715163.93504089292</v>
      </c>
      <c r="X35" s="27"/>
      <c r="Y35" s="27"/>
    </row>
    <row r="36" spans="10:28" ht="14.65" thickBot="1" x14ac:dyDescent="0.5">
      <c r="J36" s="4" t="s">
        <v>45</v>
      </c>
      <c r="K36" s="4">
        <v>14</v>
      </c>
      <c r="L36" s="4">
        <v>18003290.233333338</v>
      </c>
      <c r="M36" s="4"/>
      <c r="N36" s="4"/>
      <c r="O36" s="4"/>
      <c r="T36" s="28" t="s">
        <v>45</v>
      </c>
      <c r="U36" s="28">
        <v>14</v>
      </c>
      <c r="V36" s="28">
        <v>18003290.233333338</v>
      </c>
      <c r="W36" s="28"/>
      <c r="X36" s="28"/>
      <c r="Y36" s="28"/>
    </row>
    <row r="37" spans="10:28" ht="14.65" thickBot="1" x14ac:dyDescent="0.5"/>
    <row r="38" spans="10:28" x14ac:dyDescent="0.45">
      <c r="J38" s="5"/>
      <c r="K38" s="5" t="s">
        <v>52</v>
      </c>
      <c r="L38" s="5" t="s">
        <v>40</v>
      </c>
      <c r="M38" s="5" t="s">
        <v>53</v>
      </c>
      <c r="N38" s="5" t="s">
        <v>54</v>
      </c>
      <c r="O38" s="5" t="s">
        <v>55</v>
      </c>
      <c r="P38" s="5" t="s">
        <v>56</v>
      </c>
      <c r="Q38" s="5" t="s">
        <v>57</v>
      </c>
      <c r="R38" s="5" t="s">
        <v>58</v>
      </c>
      <c r="T38" s="29"/>
      <c r="U38" s="29" t="s">
        <v>52</v>
      </c>
      <c r="V38" s="29" t="s">
        <v>40</v>
      </c>
      <c r="W38" s="29" t="s">
        <v>53</v>
      </c>
      <c r="X38" s="29" t="s">
        <v>54</v>
      </c>
      <c r="Y38" s="29" t="s">
        <v>55</v>
      </c>
      <c r="Z38" s="29" t="s">
        <v>56</v>
      </c>
      <c r="AA38" s="29" t="s">
        <v>57</v>
      </c>
      <c r="AB38" s="29" t="s">
        <v>58</v>
      </c>
    </row>
    <row r="39" spans="10:28" x14ac:dyDescent="0.45">
      <c r="J39" t="s">
        <v>46</v>
      </c>
      <c r="K39">
        <v>33828.504680616767</v>
      </c>
      <c r="L39">
        <v>13656.805135428785</v>
      </c>
      <c r="M39">
        <v>2.4770438140658619</v>
      </c>
      <c r="N39">
        <v>2.9115369948013423E-2</v>
      </c>
      <c r="O39">
        <v>4072.8824392792376</v>
      </c>
      <c r="P39">
        <v>63584.126921954296</v>
      </c>
      <c r="Q39">
        <v>4072.8824392792376</v>
      </c>
      <c r="R39">
        <v>63584.126921954296</v>
      </c>
      <c r="T39" s="27" t="s">
        <v>46</v>
      </c>
      <c r="U39" s="27">
        <v>-6420.5545977011461</v>
      </c>
      <c r="V39" s="27">
        <v>2097.1044768312618</v>
      </c>
      <c r="W39" s="27">
        <v>-3.0616283874433594</v>
      </c>
      <c r="X39" s="27">
        <v>9.0941911112363619E-3</v>
      </c>
      <c r="Y39" s="27">
        <v>-10951.073378775207</v>
      </c>
      <c r="Z39" s="27">
        <v>-1890.0358166270853</v>
      </c>
      <c r="AA39" s="27">
        <v>-10951.073378775207</v>
      </c>
      <c r="AB39" s="27">
        <v>-1890.0358166270853</v>
      </c>
    </row>
    <row r="40" spans="10:28" ht="14.65" thickBot="1" x14ac:dyDescent="0.5">
      <c r="J40" t="s">
        <v>3</v>
      </c>
      <c r="K40">
        <v>-4570.6089620044086</v>
      </c>
      <c r="L40">
        <v>1688.1238290937047</v>
      </c>
      <c r="M40">
        <v>-2.7075081123984908</v>
      </c>
      <c r="N40">
        <v>1.9042997260280126E-2</v>
      </c>
      <c r="O40">
        <v>-8248.7148189007403</v>
      </c>
      <c r="P40">
        <v>-892.50310510807731</v>
      </c>
      <c r="Q40">
        <v>-8248.7148189007403</v>
      </c>
      <c r="R40">
        <v>-892.50310510807731</v>
      </c>
      <c r="T40" s="28" t="s">
        <v>3</v>
      </c>
      <c r="U40" s="28">
        <v>433.16594827586187</v>
      </c>
      <c r="V40" s="28">
        <v>124.14916770320514</v>
      </c>
      <c r="W40" s="28">
        <v>3.4890765382447175</v>
      </c>
      <c r="X40" s="28">
        <v>3.9969054316633026E-3</v>
      </c>
      <c r="Y40" s="28">
        <v>164.95797764391466</v>
      </c>
      <c r="Z40" s="28">
        <v>701.37391890780907</v>
      </c>
      <c r="AA40" s="28">
        <v>164.95797764391466</v>
      </c>
      <c r="AB40" s="28">
        <v>701.37391890780907</v>
      </c>
    </row>
    <row r="41" spans="10:28" ht="14.65" thickBot="1" x14ac:dyDescent="0.5">
      <c r="J41" s="4" t="s">
        <v>34</v>
      </c>
      <c r="K41" s="4">
        <v>153.55499724669613</v>
      </c>
      <c r="L41" s="4">
        <v>51.717291495734308</v>
      </c>
      <c r="M41" s="4">
        <v>2.9691229529945802</v>
      </c>
      <c r="N41" s="4">
        <v>1.1720271795165467E-2</v>
      </c>
      <c r="O41" s="4">
        <v>40.872699020150378</v>
      </c>
      <c r="P41" s="4">
        <v>266.23729547324189</v>
      </c>
      <c r="Q41" s="4">
        <v>40.872699020150378</v>
      </c>
      <c r="R41" s="4">
        <v>266.23729547324189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36AAA-8052-45D0-9A70-0C88DA450280}">
  <dimension ref="B2:J58"/>
  <sheetViews>
    <sheetView workbookViewId="0">
      <selection activeCell="D28" sqref="D28"/>
    </sheetView>
  </sheetViews>
  <sheetFormatPr defaultRowHeight="14.25" x14ac:dyDescent="0.45"/>
  <cols>
    <col min="2" max="2" width="20.6640625" customWidth="1"/>
    <col min="4" max="4" width="38" customWidth="1"/>
    <col min="7" max="7" width="14.53125" customWidth="1"/>
    <col min="8" max="8" width="15.73046875" customWidth="1"/>
    <col min="9" max="9" width="16.3984375" customWidth="1"/>
  </cols>
  <sheetData>
    <row r="2" spans="2:9" x14ac:dyDescent="0.45">
      <c r="B2" s="1" t="s">
        <v>0</v>
      </c>
      <c r="C2" s="1" t="s">
        <v>1</v>
      </c>
      <c r="D2" s="1" t="s">
        <v>2</v>
      </c>
      <c r="E2" s="2" t="s">
        <v>3</v>
      </c>
      <c r="F2" s="2" t="s">
        <v>61</v>
      </c>
      <c r="G2" s="2" t="s">
        <v>34</v>
      </c>
      <c r="H2" s="2" t="s">
        <v>4</v>
      </c>
      <c r="I2" s="2" t="s">
        <v>62</v>
      </c>
    </row>
    <row r="3" spans="2:9" x14ac:dyDescent="0.45">
      <c r="B3" s="1">
        <v>1984</v>
      </c>
      <c r="C3" s="1" t="s">
        <v>15</v>
      </c>
      <c r="D3" s="1" t="s">
        <v>18</v>
      </c>
      <c r="E3" s="2">
        <v>18</v>
      </c>
      <c r="F3" s="2">
        <f>LOG(E3)</f>
        <v>1.255272505103306</v>
      </c>
      <c r="G3" s="2">
        <f>E3^2</f>
        <v>324</v>
      </c>
      <c r="H3" s="3">
        <v>1600</v>
      </c>
      <c r="I3">
        <f>LOG(H3)</f>
        <v>3.2041199826559246</v>
      </c>
    </row>
    <row r="4" spans="2:9" x14ac:dyDescent="0.45">
      <c r="B4" s="1">
        <v>1956</v>
      </c>
      <c r="C4" s="1" t="s">
        <v>15</v>
      </c>
      <c r="D4" s="1" t="s">
        <v>20</v>
      </c>
      <c r="E4" s="2">
        <v>19</v>
      </c>
      <c r="F4" s="2">
        <f t="shared" ref="F4:F17" si="0">LOG(E4)</f>
        <v>1.2787536009528289</v>
      </c>
      <c r="G4" s="2">
        <f t="shared" ref="G4:G17" si="1">E4^2</f>
        <v>361</v>
      </c>
      <c r="H4" s="3">
        <v>4000</v>
      </c>
      <c r="I4">
        <f t="shared" ref="I4:I17" si="2">LOG(H4)</f>
        <v>3.6020599913279625</v>
      </c>
    </row>
    <row r="5" spans="2:9" x14ac:dyDescent="0.45">
      <c r="B5" s="1">
        <v>1963</v>
      </c>
      <c r="C5" s="1" t="s">
        <v>15</v>
      </c>
      <c r="D5" s="1" t="s">
        <v>21</v>
      </c>
      <c r="E5" s="2">
        <v>18</v>
      </c>
      <c r="F5" s="2">
        <f t="shared" si="0"/>
        <v>1.255272505103306</v>
      </c>
      <c r="G5" s="2">
        <f t="shared" si="1"/>
        <v>324</v>
      </c>
      <c r="H5" s="3">
        <v>1000</v>
      </c>
      <c r="I5">
        <f t="shared" si="2"/>
        <v>3</v>
      </c>
    </row>
    <row r="6" spans="2:9" x14ac:dyDescent="0.45">
      <c r="B6" s="1">
        <v>1978</v>
      </c>
      <c r="C6" s="1" t="s">
        <v>15</v>
      </c>
      <c r="D6" s="1" t="s">
        <v>22</v>
      </c>
      <c r="E6" s="2">
        <v>19</v>
      </c>
      <c r="F6" s="2">
        <f t="shared" si="0"/>
        <v>1.2787536009528289</v>
      </c>
      <c r="G6" s="2">
        <f t="shared" si="1"/>
        <v>361</v>
      </c>
      <c r="H6" s="3">
        <v>1300</v>
      </c>
      <c r="I6">
        <f t="shared" si="2"/>
        <v>3.1139433523068369</v>
      </c>
    </row>
    <row r="7" spans="2:9" x14ac:dyDescent="0.45">
      <c r="B7" s="1" t="s">
        <v>5</v>
      </c>
      <c r="C7" s="1" t="s">
        <v>16</v>
      </c>
      <c r="D7" s="1" t="s">
        <v>23</v>
      </c>
      <c r="E7" s="2">
        <v>16</v>
      </c>
      <c r="F7" s="2">
        <f t="shared" si="0"/>
        <v>1.2041199826559248</v>
      </c>
      <c r="G7" s="2">
        <f t="shared" si="1"/>
        <v>256</v>
      </c>
      <c r="H7" s="3">
        <v>350</v>
      </c>
      <c r="I7">
        <f t="shared" si="2"/>
        <v>2.5440680443502757</v>
      </c>
    </row>
    <row r="8" spans="2:9" x14ac:dyDescent="0.45">
      <c r="B8" s="1" t="s">
        <v>6</v>
      </c>
      <c r="C8" s="1" t="s">
        <v>16</v>
      </c>
      <c r="D8" s="1" t="s">
        <v>24</v>
      </c>
      <c r="E8" s="2">
        <v>19</v>
      </c>
      <c r="F8" s="2">
        <f t="shared" si="0"/>
        <v>1.2787536009528289</v>
      </c>
      <c r="G8" s="2">
        <f t="shared" si="1"/>
        <v>361</v>
      </c>
      <c r="H8" s="3">
        <v>2650</v>
      </c>
      <c r="I8">
        <f t="shared" si="2"/>
        <v>3.4232458739368079</v>
      </c>
    </row>
    <row r="9" spans="2:9" x14ac:dyDescent="0.45">
      <c r="B9" s="1">
        <v>1962</v>
      </c>
      <c r="C9" s="1" t="s">
        <v>16</v>
      </c>
      <c r="D9" s="1" t="s">
        <v>25</v>
      </c>
      <c r="E9" s="2">
        <v>18</v>
      </c>
      <c r="F9" s="2">
        <f t="shared" si="0"/>
        <v>1.255272505103306</v>
      </c>
      <c r="G9" s="2">
        <f t="shared" si="1"/>
        <v>324</v>
      </c>
      <c r="H9" s="3">
        <v>375</v>
      </c>
      <c r="I9">
        <f t="shared" si="2"/>
        <v>2.5740312677277188</v>
      </c>
    </row>
    <row r="10" spans="2:9" x14ac:dyDescent="0.45">
      <c r="B10" s="1" t="s">
        <v>7</v>
      </c>
      <c r="C10" s="1" t="s">
        <v>16</v>
      </c>
      <c r="D10" s="1" t="s">
        <v>26</v>
      </c>
      <c r="E10" s="2">
        <v>17</v>
      </c>
      <c r="F10" s="2">
        <f t="shared" si="0"/>
        <v>1.2304489213782739</v>
      </c>
      <c r="G10" s="2">
        <f t="shared" si="1"/>
        <v>289</v>
      </c>
      <c r="H10" s="3">
        <v>450</v>
      </c>
      <c r="I10">
        <f t="shared" si="2"/>
        <v>2.6532125137753435</v>
      </c>
    </row>
    <row r="11" spans="2:9" x14ac:dyDescent="0.45">
      <c r="B11" s="1" t="s">
        <v>8</v>
      </c>
      <c r="C11" s="1" t="s">
        <v>16</v>
      </c>
      <c r="D11" s="1" t="s">
        <v>27</v>
      </c>
      <c r="E11" s="2">
        <v>17</v>
      </c>
      <c r="F11" s="2">
        <f t="shared" si="0"/>
        <v>1.2304489213782739</v>
      </c>
      <c r="G11" s="2">
        <f t="shared" si="1"/>
        <v>289</v>
      </c>
      <c r="H11" s="3">
        <v>140</v>
      </c>
      <c r="I11">
        <f t="shared" si="2"/>
        <v>2.1461280356782382</v>
      </c>
    </row>
    <row r="12" spans="2:9" x14ac:dyDescent="0.45">
      <c r="B12" s="1" t="s">
        <v>9</v>
      </c>
      <c r="C12" s="1" t="s">
        <v>17</v>
      </c>
      <c r="D12" s="1" t="s">
        <v>28</v>
      </c>
      <c r="E12" s="2">
        <v>15</v>
      </c>
      <c r="F12" s="2">
        <f t="shared" si="0"/>
        <v>1.1760912590556813</v>
      </c>
      <c r="G12" s="2">
        <f t="shared" si="1"/>
        <v>225</v>
      </c>
      <c r="H12" s="3">
        <v>77.5</v>
      </c>
      <c r="I12">
        <f t="shared" si="2"/>
        <v>1.8893017025063104</v>
      </c>
    </row>
    <row r="13" spans="2:9" x14ac:dyDescent="0.45">
      <c r="B13" s="1" t="s">
        <v>10</v>
      </c>
      <c r="C13" s="1" t="s">
        <v>17</v>
      </c>
      <c r="D13" s="1" t="s">
        <v>29</v>
      </c>
      <c r="E13" s="2">
        <v>14</v>
      </c>
      <c r="F13" s="2">
        <f t="shared" si="0"/>
        <v>1.146128035678238</v>
      </c>
      <c r="G13" s="2">
        <f t="shared" si="1"/>
        <v>196</v>
      </c>
      <c r="H13" s="3">
        <v>62</v>
      </c>
      <c r="I13">
        <f t="shared" si="2"/>
        <v>1.7923916894982539</v>
      </c>
    </row>
    <row r="14" spans="2:9" x14ac:dyDescent="0.45">
      <c r="B14" s="1" t="s">
        <v>11</v>
      </c>
      <c r="C14" s="1" t="s">
        <v>17</v>
      </c>
      <c r="D14" s="1" t="s">
        <v>30</v>
      </c>
      <c r="E14" s="2">
        <v>16</v>
      </c>
      <c r="F14" s="2">
        <f t="shared" si="0"/>
        <v>1.2041199826559248</v>
      </c>
      <c r="G14" s="2">
        <f t="shared" si="1"/>
        <v>256</v>
      </c>
      <c r="H14" s="3">
        <v>125</v>
      </c>
      <c r="I14">
        <f t="shared" si="2"/>
        <v>2.0969100130080562</v>
      </c>
    </row>
    <row r="15" spans="2:9" x14ac:dyDescent="0.45">
      <c r="B15" s="1" t="s">
        <v>12</v>
      </c>
      <c r="C15" s="1" t="s">
        <v>17</v>
      </c>
      <c r="D15" s="1" t="s">
        <v>31</v>
      </c>
      <c r="E15" s="2">
        <v>17</v>
      </c>
      <c r="F15" s="2">
        <f t="shared" si="0"/>
        <v>1.2304489213782739</v>
      </c>
      <c r="G15" s="2">
        <f t="shared" si="1"/>
        <v>289</v>
      </c>
      <c r="H15" s="3">
        <v>400</v>
      </c>
      <c r="I15">
        <f t="shared" si="2"/>
        <v>2.6020599913279625</v>
      </c>
    </row>
    <row r="16" spans="2:9" x14ac:dyDescent="0.45">
      <c r="B16" s="1" t="s">
        <v>13</v>
      </c>
      <c r="C16" s="1" t="s">
        <v>17</v>
      </c>
      <c r="D16" s="1" t="s">
        <v>32</v>
      </c>
      <c r="E16" s="2">
        <v>16</v>
      </c>
      <c r="F16" s="2">
        <f t="shared" si="0"/>
        <v>1.2041199826559248</v>
      </c>
      <c r="G16" s="2">
        <f t="shared" si="1"/>
        <v>256</v>
      </c>
      <c r="H16" s="3">
        <v>250</v>
      </c>
      <c r="I16">
        <f t="shared" si="2"/>
        <v>2.3979400086720375</v>
      </c>
    </row>
    <row r="17" spans="2:9" x14ac:dyDescent="0.45">
      <c r="B17" s="1" t="s">
        <v>14</v>
      </c>
      <c r="C17" s="1" t="s">
        <v>17</v>
      </c>
      <c r="D17" s="1" t="s">
        <v>19</v>
      </c>
      <c r="E17" s="2">
        <v>13</v>
      </c>
      <c r="F17" s="2">
        <f t="shared" si="0"/>
        <v>1.1139433523068367</v>
      </c>
      <c r="G17" s="2">
        <f t="shared" si="1"/>
        <v>169</v>
      </c>
      <c r="H17" s="3">
        <v>70</v>
      </c>
      <c r="I17">
        <f t="shared" si="2"/>
        <v>1.8450980400142569</v>
      </c>
    </row>
    <row r="20" spans="2:9" x14ac:dyDescent="0.45">
      <c r="B20" t="s">
        <v>35</v>
      </c>
    </row>
    <row r="21" spans="2:9" ht="14.65" thickBot="1" x14ac:dyDescent="0.5"/>
    <row r="22" spans="2:9" x14ac:dyDescent="0.45">
      <c r="B22" s="6" t="s">
        <v>36</v>
      </c>
      <c r="C22" s="6"/>
    </row>
    <row r="23" spans="2:9" x14ac:dyDescent="0.45">
      <c r="B23" t="s">
        <v>37</v>
      </c>
      <c r="C23">
        <v>0.88202711270853984</v>
      </c>
    </row>
    <row r="24" spans="2:9" x14ac:dyDescent="0.45">
      <c r="B24" t="s">
        <v>38</v>
      </c>
      <c r="C24">
        <v>0.77797182755296324</v>
      </c>
    </row>
    <row r="25" spans="2:9" x14ac:dyDescent="0.45">
      <c r="B25" t="s">
        <v>39</v>
      </c>
      <c r="C25">
        <v>0.76089273736472962</v>
      </c>
    </row>
    <row r="26" spans="2:9" x14ac:dyDescent="0.45">
      <c r="B26" t="s">
        <v>40</v>
      </c>
      <c r="C26">
        <v>0.28343818152591127</v>
      </c>
    </row>
    <row r="27" spans="2:9" ht="14.65" thickBot="1" x14ac:dyDescent="0.5">
      <c r="B27" s="4" t="s">
        <v>41</v>
      </c>
      <c r="C27" s="4">
        <v>15</v>
      </c>
    </row>
    <row r="29" spans="2:9" ht="14.65" thickBot="1" x14ac:dyDescent="0.5">
      <c r="B29" t="s">
        <v>42</v>
      </c>
    </row>
    <row r="30" spans="2:9" x14ac:dyDescent="0.45">
      <c r="B30" s="5"/>
      <c r="C30" s="5" t="s">
        <v>47</v>
      </c>
      <c r="D30" s="5" t="s">
        <v>48</v>
      </c>
      <c r="E30" s="5" t="s">
        <v>49</v>
      </c>
      <c r="F30" s="5" t="s">
        <v>50</v>
      </c>
      <c r="G30" s="5" t="s">
        <v>51</v>
      </c>
    </row>
    <row r="31" spans="2:9" x14ac:dyDescent="0.45">
      <c r="B31" t="s">
        <v>43</v>
      </c>
      <c r="C31">
        <v>1</v>
      </c>
      <c r="D31">
        <v>3.6594502255403332</v>
      </c>
      <c r="E31">
        <v>3.6594502255403332</v>
      </c>
      <c r="F31">
        <v>45.551128249731718</v>
      </c>
      <c r="G31">
        <v>1.3641045735690985E-5</v>
      </c>
    </row>
    <row r="32" spans="2:9" x14ac:dyDescent="0.45">
      <c r="B32" t="s">
        <v>44</v>
      </c>
      <c r="C32">
        <v>13</v>
      </c>
      <c r="D32">
        <v>1.0443836357073004</v>
      </c>
      <c r="E32">
        <v>8.0337202746715422E-2</v>
      </c>
    </row>
    <row r="33" spans="2:10" ht="14.65" thickBot="1" x14ac:dyDescent="0.5">
      <c r="B33" s="4" t="s">
        <v>45</v>
      </c>
      <c r="C33" s="4">
        <v>14</v>
      </c>
      <c r="D33" s="4">
        <v>4.7038338612476336</v>
      </c>
      <c r="E33" s="4"/>
      <c r="F33" s="4"/>
      <c r="G33" s="4"/>
    </row>
    <row r="34" spans="2:10" ht="14.65" thickBot="1" x14ac:dyDescent="0.5"/>
    <row r="35" spans="2:10" x14ac:dyDescent="0.45">
      <c r="B35" s="5"/>
      <c r="C35" s="5" t="s">
        <v>52</v>
      </c>
      <c r="D35" s="5" t="s">
        <v>40</v>
      </c>
      <c r="E35" s="5" t="s">
        <v>53</v>
      </c>
      <c r="F35" s="5" t="s">
        <v>54</v>
      </c>
      <c r="G35" s="5" t="s">
        <v>55</v>
      </c>
      <c r="H35" s="5" t="s">
        <v>56</v>
      </c>
      <c r="I35" s="5" t="s">
        <v>57</v>
      </c>
      <c r="J35" s="5" t="s">
        <v>58</v>
      </c>
    </row>
    <row r="36" spans="2:10" x14ac:dyDescent="0.45">
      <c r="B36" t="s">
        <v>46</v>
      </c>
      <c r="C36">
        <v>-10.152207417756058</v>
      </c>
      <c r="D36">
        <v>1.8897285563509487</v>
      </c>
      <c r="E36">
        <v>-5.3723098926757462</v>
      </c>
      <c r="F36">
        <v>1.270310021115802E-4</v>
      </c>
      <c r="G36">
        <v>-14.234717760119331</v>
      </c>
      <c r="H36">
        <v>-6.0696970753927859</v>
      </c>
      <c r="I36">
        <v>-14.234717760119331</v>
      </c>
      <c r="J36">
        <v>-6.0696970753927859</v>
      </c>
    </row>
    <row r="37" spans="2:10" ht="14.65" thickBot="1" x14ac:dyDescent="0.5">
      <c r="B37" s="4" t="s">
        <v>61</v>
      </c>
      <c r="C37" s="4">
        <v>10.422427603454206</v>
      </c>
      <c r="D37" s="4">
        <v>1.544256072833101</v>
      </c>
      <c r="E37" s="4">
        <v>6.74915759556196</v>
      </c>
      <c r="F37" s="4">
        <v>1.3641045735691037E-5</v>
      </c>
      <c r="G37" s="4">
        <v>7.086265186153252</v>
      </c>
      <c r="H37" s="4">
        <v>13.758590020755161</v>
      </c>
      <c r="I37" s="4">
        <v>7.086265186153252</v>
      </c>
      <c r="J37" s="4">
        <v>13.758590020755161</v>
      </c>
    </row>
    <row r="41" spans="2:10" x14ac:dyDescent="0.45">
      <c r="B41" t="s">
        <v>63</v>
      </c>
      <c r="G41" t="s">
        <v>68</v>
      </c>
    </row>
    <row r="42" spans="2:10" ht="14.65" thickBot="1" x14ac:dyDescent="0.5"/>
    <row r="43" spans="2:10" x14ac:dyDescent="0.45">
      <c r="B43" s="5" t="s">
        <v>64</v>
      </c>
      <c r="C43" s="5" t="s">
        <v>65</v>
      </c>
      <c r="D43" s="5" t="s">
        <v>66</v>
      </c>
      <c r="E43" s="5" t="s">
        <v>67</v>
      </c>
      <c r="G43" s="5" t="s">
        <v>69</v>
      </c>
      <c r="H43" s="5" t="s">
        <v>62</v>
      </c>
    </row>
    <row r="44" spans="2:10" x14ac:dyDescent="0.45">
      <c r="B44">
        <v>1</v>
      </c>
      <c r="C44">
        <v>2.93077938928975</v>
      </c>
      <c r="D44">
        <v>0.27334059336617456</v>
      </c>
      <c r="E44">
        <v>1.0007788567534688</v>
      </c>
      <c r="G44">
        <v>3.3333333333333335</v>
      </c>
      <c r="H44">
        <v>1.7923916894982539</v>
      </c>
    </row>
    <row r="45" spans="2:10" x14ac:dyDescent="0.45">
      <c r="B45">
        <v>2</v>
      </c>
      <c r="C45">
        <v>3.1755094108311717</v>
      </c>
      <c r="D45">
        <v>0.42655058049679084</v>
      </c>
      <c r="E45">
        <v>1.5617248687436733</v>
      </c>
      <c r="G45">
        <v>10</v>
      </c>
      <c r="H45">
        <v>1.8450980400142569</v>
      </c>
    </row>
    <row r="46" spans="2:10" x14ac:dyDescent="0.45">
      <c r="B46">
        <v>3</v>
      </c>
      <c r="C46">
        <v>2.93077938928975</v>
      </c>
      <c r="D46">
        <v>6.9220610710249986E-2</v>
      </c>
      <c r="E46">
        <v>0.25343664765364304</v>
      </c>
      <c r="G46">
        <v>16.666666666666668</v>
      </c>
      <c r="H46">
        <v>1.8893017025063104</v>
      </c>
    </row>
    <row r="47" spans="2:10" x14ac:dyDescent="0.45">
      <c r="B47">
        <v>4</v>
      </c>
      <c r="C47">
        <v>3.1755094108311717</v>
      </c>
      <c r="D47">
        <v>-6.1566058524334721E-2</v>
      </c>
      <c r="E47">
        <v>-0.22541112136337918</v>
      </c>
      <c r="G47">
        <v>23.333333333333332</v>
      </c>
      <c r="H47">
        <v>2.0969100130080562</v>
      </c>
    </row>
    <row r="48" spans="2:10" x14ac:dyDescent="0.45">
      <c r="B48">
        <v>5</v>
      </c>
      <c r="C48">
        <v>2.3976459273478525</v>
      </c>
      <c r="D48">
        <v>0.14642211700242314</v>
      </c>
      <c r="E48">
        <v>0.53609365902269701</v>
      </c>
      <c r="G48">
        <v>30</v>
      </c>
      <c r="H48">
        <v>2.1461280356782382</v>
      </c>
    </row>
    <row r="49" spans="2:8" x14ac:dyDescent="0.45">
      <c r="B49">
        <v>6</v>
      </c>
      <c r="C49">
        <v>3.1755094108311717</v>
      </c>
      <c r="D49">
        <v>0.24773646310563624</v>
      </c>
      <c r="E49">
        <v>0.90703474105243298</v>
      </c>
      <c r="G49">
        <v>36.666666666666671</v>
      </c>
      <c r="H49">
        <v>2.3979400086720375</v>
      </c>
    </row>
    <row r="50" spans="2:8" x14ac:dyDescent="0.45">
      <c r="B50">
        <v>7</v>
      </c>
      <c r="C50">
        <v>2.93077938928975</v>
      </c>
      <c r="D50">
        <v>-0.35674812156203117</v>
      </c>
      <c r="E50">
        <v>-1.306157906694507</v>
      </c>
      <c r="G50">
        <v>43.333333333333336</v>
      </c>
      <c r="H50">
        <v>2.5440680443502757</v>
      </c>
    </row>
    <row r="51" spans="2:8" x14ac:dyDescent="0.45">
      <c r="B51">
        <v>8</v>
      </c>
      <c r="C51">
        <v>2.6720573850573182</v>
      </c>
      <c r="D51">
        <v>-1.8844871281974651E-2</v>
      </c>
      <c r="E51">
        <v>-6.8996516415606432E-2</v>
      </c>
      <c r="G51">
        <v>50.000000000000007</v>
      </c>
      <c r="H51">
        <v>2.5740312677277188</v>
      </c>
    </row>
    <row r="52" spans="2:8" x14ac:dyDescent="0.45">
      <c r="B52">
        <v>9</v>
      </c>
      <c r="C52">
        <v>2.6720573850573182</v>
      </c>
      <c r="D52">
        <v>-0.52592934937907998</v>
      </c>
      <c r="E52">
        <v>-1.925579243546871</v>
      </c>
      <c r="G52">
        <v>56.666666666666671</v>
      </c>
      <c r="H52">
        <v>2.6020599913279625</v>
      </c>
    </row>
    <row r="53" spans="2:8" x14ac:dyDescent="0.45">
      <c r="B53">
        <v>10</v>
      </c>
      <c r="C53">
        <v>2.1055185848070881</v>
      </c>
      <c r="D53">
        <v>-0.21621688230077774</v>
      </c>
      <c r="E53">
        <v>-0.79163245244695868</v>
      </c>
      <c r="G53">
        <v>63.333333333333336</v>
      </c>
      <c r="H53">
        <v>2.6532125137753435</v>
      </c>
    </row>
    <row r="54" spans="2:8" x14ac:dyDescent="0.45">
      <c r="B54">
        <v>11</v>
      </c>
      <c r="C54">
        <v>1.7932290583895565</v>
      </c>
      <c r="D54">
        <v>-8.3736889130259229E-4</v>
      </c>
      <c r="E54">
        <v>-3.0658493544575426E-3</v>
      </c>
      <c r="G54">
        <v>70</v>
      </c>
      <c r="H54">
        <v>3</v>
      </c>
    </row>
    <row r="55" spans="2:8" x14ac:dyDescent="0.45">
      <c r="B55">
        <v>12</v>
      </c>
      <c r="C55">
        <v>2.3976459273478525</v>
      </c>
      <c r="D55">
        <v>-0.3007359143397963</v>
      </c>
      <c r="E55">
        <v>-1.1010810389750731</v>
      </c>
      <c r="G55">
        <v>76.666666666666671</v>
      </c>
      <c r="H55">
        <v>3.1139433523068369</v>
      </c>
    </row>
    <row r="56" spans="2:8" x14ac:dyDescent="0.45">
      <c r="B56">
        <v>13</v>
      </c>
      <c r="C56">
        <v>2.6720573850573182</v>
      </c>
      <c r="D56">
        <v>-6.999739372935565E-2</v>
      </c>
      <c r="E56">
        <v>-0.25628067463197279</v>
      </c>
      <c r="G56">
        <v>83.333333333333329</v>
      </c>
      <c r="H56">
        <v>3.2041199826559246</v>
      </c>
    </row>
    <row r="57" spans="2:8" x14ac:dyDescent="0.45">
      <c r="B57">
        <v>14</v>
      </c>
      <c r="C57">
        <v>2.3976459273478525</v>
      </c>
      <c r="D57">
        <v>2.9408132418495825E-4</v>
      </c>
      <c r="E57">
        <v>1.0767166624830675E-3</v>
      </c>
      <c r="G57">
        <v>90</v>
      </c>
      <c r="H57">
        <v>3.4232458739368079</v>
      </c>
    </row>
    <row r="58" spans="2:8" ht="14.65" thickBot="1" x14ac:dyDescent="0.5">
      <c r="B58" s="4">
        <v>15</v>
      </c>
      <c r="C58" s="4">
        <v>1.4577865260110308</v>
      </c>
      <c r="D58" s="4">
        <v>0.38731151400322616</v>
      </c>
      <c r="E58" s="4">
        <v>1.4180593135405488</v>
      </c>
      <c r="G58" s="4">
        <v>96.666666666666671</v>
      </c>
      <c r="H58" s="4">
        <v>3.6020599913279625</v>
      </c>
    </row>
  </sheetData>
  <sortState xmlns:xlrd2="http://schemas.microsoft.com/office/spreadsheetml/2017/richdata2" ref="H44:H58">
    <sortCondition ref="H44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5376D-0C5B-4F9F-898D-29D9EB869D8D}">
  <dimension ref="B3:O156"/>
  <sheetViews>
    <sheetView zoomScaleNormal="100" workbookViewId="0">
      <selection activeCell="K12" sqref="K12"/>
    </sheetView>
  </sheetViews>
  <sheetFormatPr defaultRowHeight="14.25" x14ac:dyDescent="0.45"/>
  <cols>
    <col min="11" max="11" width="14.796875" customWidth="1"/>
  </cols>
  <sheetData>
    <row r="3" spans="2:12" x14ac:dyDescent="0.45">
      <c r="B3" s="2" t="s">
        <v>70</v>
      </c>
      <c r="C3" s="2" t="s">
        <v>71</v>
      </c>
      <c r="D3" s="2" t="s">
        <v>72</v>
      </c>
      <c r="E3" s="2" t="s">
        <v>73</v>
      </c>
      <c r="G3" t="s">
        <v>35</v>
      </c>
    </row>
    <row r="4" spans="2:12" ht="14.65" thickBot="1" x14ac:dyDescent="0.5">
      <c r="B4" s="2">
        <v>12</v>
      </c>
      <c r="C4" s="2">
        <v>57</v>
      </c>
      <c r="D4" s="2">
        <v>152</v>
      </c>
      <c r="E4" s="2">
        <v>0</v>
      </c>
    </row>
    <row r="5" spans="2:12" x14ac:dyDescent="0.45">
      <c r="B5" s="2">
        <v>24</v>
      </c>
      <c r="C5" s="2">
        <v>67</v>
      </c>
      <c r="D5" s="2">
        <v>163</v>
      </c>
      <c r="E5" s="2">
        <v>0</v>
      </c>
      <c r="G5" s="6" t="s">
        <v>36</v>
      </c>
      <c r="H5" s="6"/>
    </row>
    <row r="6" spans="2:12" x14ac:dyDescent="0.45">
      <c r="B6" s="2">
        <v>13</v>
      </c>
      <c r="C6" s="2">
        <v>58</v>
      </c>
      <c r="D6" s="2">
        <v>155</v>
      </c>
      <c r="E6" s="2">
        <v>0</v>
      </c>
      <c r="G6" t="s">
        <v>37</v>
      </c>
      <c r="H6">
        <v>0.93460516798461302</v>
      </c>
    </row>
    <row r="7" spans="2:12" x14ac:dyDescent="0.45">
      <c r="B7" s="2">
        <v>56</v>
      </c>
      <c r="C7" s="2">
        <v>86</v>
      </c>
      <c r="D7" s="2">
        <v>177</v>
      </c>
      <c r="E7" s="2">
        <v>1</v>
      </c>
      <c r="G7" s="8" t="s">
        <v>38</v>
      </c>
      <c r="H7" s="8">
        <v>0.87348682002354672</v>
      </c>
    </row>
    <row r="8" spans="2:12" x14ac:dyDescent="0.45">
      <c r="B8" s="2">
        <v>28</v>
      </c>
      <c r="C8" s="2">
        <v>59</v>
      </c>
      <c r="D8" s="2">
        <v>196</v>
      </c>
      <c r="E8" s="2">
        <v>0</v>
      </c>
      <c r="G8" s="8" t="s">
        <v>39</v>
      </c>
      <c r="H8" s="8">
        <v>0.84976559877796176</v>
      </c>
    </row>
    <row r="9" spans="2:12" x14ac:dyDescent="0.45">
      <c r="B9" s="2">
        <v>51</v>
      </c>
      <c r="C9" s="2">
        <v>76</v>
      </c>
      <c r="D9" s="2">
        <v>189</v>
      </c>
      <c r="E9" s="2">
        <v>1</v>
      </c>
      <c r="G9" t="s">
        <v>40</v>
      </c>
      <c r="H9">
        <v>5.7565745653465479</v>
      </c>
    </row>
    <row r="10" spans="2:12" ht="14.65" thickBot="1" x14ac:dyDescent="0.5">
      <c r="B10" s="2">
        <v>18</v>
      </c>
      <c r="C10" s="2">
        <v>56</v>
      </c>
      <c r="D10" s="2">
        <v>155</v>
      </c>
      <c r="E10" s="2">
        <v>1</v>
      </c>
      <c r="G10" s="4" t="s">
        <v>41</v>
      </c>
      <c r="H10" s="4">
        <v>20</v>
      </c>
    </row>
    <row r="11" spans="2:12" x14ac:dyDescent="0.45">
      <c r="B11" s="2">
        <v>31</v>
      </c>
      <c r="C11" s="2">
        <v>78</v>
      </c>
      <c r="D11" s="2">
        <v>120</v>
      </c>
      <c r="E11" s="2">
        <v>0</v>
      </c>
    </row>
    <row r="12" spans="2:12" ht="14.65" thickBot="1" x14ac:dyDescent="0.5">
      <c r="B12" s="2">
        <v>37</v>
      </c>
      <c r="C12" s="2">
        <v>80</v>
      </c>
      <c r="D12" s="2">
        <v>135</v>
      </c>
      <c r="E12" s="2">
        <v>1</v>
      </c>
      <c r="G12" t="s">
        <v>42</v>
      </c>
    </row>
    <row r="13" spans="2:12" x14ac:dyDescent="0.45">
      <c r="B13" s="2">
        <v>15</v>
      </c>
      <c r="C13" s="2">
        <v>78</v>
      </c>
      <c r="D13" s="2">
        <v>98</v>
      </c>
      <c r="E13" s="2">
        <v>0</v>
      </c>
      <c r="G13" s="5"/>
      <c r="H13" s="5" t="s">
        <v>47</v>
      </c>
      <c r="I13" s="5" t="s">
        <v>48</v>
      </c>
      <c r="J13" s="5" t="s">
        <v>49</v>
      </c>
      <c r="K13" s="5" t="s">
        <v>50</v>
      </c>
      <c r="L13" s="5" t="s">
        <v>51</v>
      </c>
    </row>
    <row r="14" spans="2:12" x14ac:dyDescent="0.45">
      <c r="B14" s="2">
        <v>22</v>
      </c>
      <c r="C14" s="2">
        <v>71</v>
      </c>
      <c r="D14" s="2">
        <v>152</v>
      </c>
      <c r="E14" s="2">
        <v>0</v>
      </c>
      <c r="G14" t="s">
        <v>43</v>
      </c>
      <c r="H14">
        <v>3</v>
      </c>
      <c r="I14">
        <v>3660.739588377683</v>
      </c>
      <c r="J14">
        <v>1220.2465294592278</v>
      </c>
      <c r="K14">
        <v>36.823012229445013</v>
      </c>
      <c r="L14">
        <v>2.0640386888860177E-7</v>
      </c>
    </row>
    <row r="15" spans="2:12" x14ac:dyDescent="0.45">
      <c r="B15" s="2">
        <v>36</v>
      </c>
      <c r="C15" s="2">
        <v>70</v>
      </c>
      <c r="D15" s="2">
        <v>173</v>
      </c>
      <c r="E15" s="2">
        <v>1</v>
      </c>
      <c r="G15" t="s">
        <v>44</v>
      </c>
      <c r="H15">
        <v>16</v>
      </c>
      <c r="I15">
        <v>530.21041162231677</v>
      </c>
      <c r="J15">
        <v>33.138150726394798</v>
      </c>
    </row>
    <row r="16" spans="2:12" ht="14.65" thickBot="1" x14ac:dyDescent="0.5">
      <c r="B16" s="2">
        <v>15</v>
      </c>
      <c r="C16" s="2">
        <v>67</v>
      </c>
      <c r="D16" s="2">
        <v>135</v>
      </c>
      <c r="E16" s="2">
        <v>1</v>
      </c>
      <c r="G16" s="4" t="s">
        <v>45</v>
      </c>
      <c r="H16" s="4">
        <v>19</v>
      </c>
      <c r="I16" s="4">
        <v>4190.95</v>
      </c>
      <c r="J16" s="4"/>
      <c r="K16" s="4"/>
      <c r="L16" s="4"/>
    </row>
    <row r="17" spans="2:15" ht="14.65" thickBot="1" x14ac:dyDescent="0.5">
      <c r="B17" s="2">
        <v>48</v>
      </c>
      <c r="C17" s="2">
        <v>77</v>
      </c>
      <c r="D17" s="2">
        <v>209</v>
      </c>
      <c r="E17" s="2">
        <v>1</v>
      </c>
    </row>
    <row r="18" spans="2:15" x14ac:dyDescent="0.45">
      <c r="B18" s="2">
        <v>15</v>
      </c>
      <c r="C18" s="2">
        <v>60</v>
      </c>
      <c r="D18" s="2">
        <v>199</v>
      </c>
      <c r="E18" s="2">
        <v>0</v>
      </c>
      <c r="G18" s="5"/>
      <c r="H18" s="5" t="s">
        <v>52</v>
      </c>
      <c r="I18" s="5" t="s">
        <v>40</v>
      </c>
      <c r="J18" s="5" t="s">
        <v>53</v>
      </c>
      <c r="K18" s="5" t="s">
        <v>54</v>
      </c>
      <c r="L18" s="5" t="s">
        <v>55</v>
      </c>
      <c r="M18" s="5" t="s">
        <v>56</v>
      </c>
      <c r="N18" s="5" t="s">
        <v>57</v>
      </c>
      <c r="O18" s="5" t="s">
        <v>58</v>
      </c>
    </row>
    <row r="19" spans="2:15" x14ac:dyDescent="0.45">
      <c r="B19" s="2">
        <v>36</v>
      </c>
      <c r="C19" s="2">
        <v>82</v>
      </c>
      <c r="D19" s="2">
        <v>119</v>
      </c>
      <c r="E19" s="2">
        <v>1</v>
      </c>
      <c r="G19" t="s">
        <v>46</v>
      </c>
      <c r="H19">
        <v>-91.759498439183417</v>
      </c>
      <c r="I19">
        <v>15.222760086912302</v>
      </c>
      <c r="J19">
        <v>-6.0277832610705877</v>
      </c>
      <c r="K19">
        <v>1.7575547338428511E-5</v>
      </c>
      <c r="L19">
        <v>-124.03030821620263</v>
      </c>
      <c r="M19">
        <v>-59.488688662164215</v>
      </c>
      <c r="N19">
        <v>-124.03030821620263</v>
      </c>
      <c r="O19">
        <v>-59.488688662164215</v>
      </c>
    </row>
    <row r="20" spans="2:15" x14ac:dyDescent="0.45">
      <c r="B20" s="2">
        <v>8</v>
      </c>
      <c r="C20" s="2">
        <v>66</v>
      </c>
      <c r="D20" s="2">
        <v>166</v>
      </c>
      <c r="E20" s="2">
        <v>0</v>
      </c>
      <c r="G20" s="8" t="s">
        <v>71</v>
      </c>
      <c r="H20">
        <v>1.0767410565882536</v>
      </c>
      <c r="I20">
        <v>0.16596361065769719</v>
      </c>
      <c r="J20">
        <v>6.4878141197412882</v>
      </c>
      <c r="K20">
        <v>7.4873018716307515E-6</v>
      </c>
      <c r="L20">
        <v>0.7249139188771081</v>
      </c>
      <c r="M20">
        <v>1.4285681942993991</v>
      </c>
      <c r="N20">
        <v>0.7249139188771081</v>
      </c>
      <c r="O20">
        <v>1.4285681942993991</v>
      </c>
    </row>
    <row r="21" spans="2:15" x14ac:dyDescent="0.45">
      <c r="B21" s="2">
        <v>34</v>
      </c>
      <c r="C21" s="2">
        <v>80</v>
      </c>
      <c r="D21" s="2">
        <v>125</v>
      </c>
      <c r="E21" s="2">
        <v>1</v>
      </c>
      <c r="G21" s="8" t="s">
        <v>72</v>
      </c>
      <c r="H21">
        <v>0.25181347250984182</v>
      </c>
      <c r="I21">
        <v>4.522551858841841E-2</v>
      </c>
      <c r="J21">
        <v>5.5679510234367449</v>
      </c>
      <c r="K21">
        <v>4.2436645744485185E-5</v>
      </c>
      <c r="L21">
        <v>0.15593965599422427</v>
      </c>
      <c r="M21">
        <v>0.34768728902545937</v>
      </c>
      <c r="N21">
        <v>0.15593965599422427</v>
      </c>
      <c r="O21">
        <v>0.34768728902545937</v>
      </c>
    </row>
    <row r="22" spans="2:15" ht="14.65" thickBot="1" x14ac:dyDescent="0.5">
      <c r="B22" s="2">
        <v>3</v>
      </c>
      <c r="C22" s="2">
        <v>62</v>
      </c>
      <c r="D22" s="2">
        <v>117</v>
      </c>
      <c r="E22" s="2">
        <v>0</v>
      </c>
      <c r="G22" s="9" t="s">
        <v>73</v>
      </c>
      <c r="H22" s="4">
        <v>8.7398710556661214</v>
      </c>
      <c r="I22" s="4">
        <v>3.0008154320476264</v>
      </c>
      <c r="J22" s="4">
        <v>2.9124987036281711</v>
      </c>
      <c r="K22" s="4">
        <v>1.0173552972923572E-2</v>
      </c>
      <c r="L22" s="4">
        <v>2.3784265192834386</v>
      </c>
      <c r="M22" s="4">
        <v>15.101315592048804</v>
      </c>
      <c r="N22" s="4">
        <v>2.3784265192834386</v>
      </c>
      <c r="O22" s="4">
        <v>15.101315592048804</v>
      </c>
    </row>
    <row r="23" spans="2:15" x14ac:dyDescent="0.45">
      <c r="B23" s="2">
        <v>37</v>
      </c>
      <c r="C23" s="2">
        <v>59</v>
      </c>
      <c r="D23" s="2">
        <v>207</v>
      </c>
      <c r="E23" s="2">
        <v>1</v>
      </c>
    </row>
    <row r="25" spans="2:15" x14ac:dyDescent="0.45">
      <c r="B25" s="2" t="s">
        <v>70</v>
      </c>
      <c r="C25" s="2" t="s">
        <v>71</v>
      </c>
      <c r="D25" s="2" t="s">
        <v>72</v>
      </c>
      <c r="G25" t="s">
        <v>35</v>
      </c>
    </row>
    <row r="26" spans="2:15" ht="14.65" thickBot="1" x14ac:dyDescent="0.5">
      <c r="B26" s="2">
        <v>12</v>
      </c>
      <c r="C26" s="2">
        <v>57</v>
      </c>
      <c r="D26" s="2">
        <v>152</v>
      </c>
    </row>
    <row r="27" spans="2:15" x14ac:dyDescent="0.45">
      <c r="B27" s="2">
        <v>24</v>
      </c>
      <c r="C27" s="2">
        <v>67</v>
      </c>
      <c r="D27" s="2">
        <v>163</v>
      </c>
      <c r="G27" s="6" t="s">
        <v>36</v>
      </c>
      <c r="H27" s="6"/>
    </row>
    <row r="28" spans="2:15" x14ac:dyDescent="0.45">
      <c r="B28" s="2">
        <v>13</v>
      </c>
      <c r="C28" s="2">
        <v>58</v>
      </c>
      <c r="D28" s="2">
        <v>155</v>
      </c>
      <c r="G28" t="s">
        <v>37</v>
      </c>
      <c r="H28">
        <v>0.89800550732196271</v>
      </c>
    </row>
    <row r="29" spans="2:15" x14ac:dyDescent="0.45">
      <c r="B29" s="2">
        <v>56</v>
      </c>
      <c r="C29" s="2">
        <v>86</v>
      </c>
      <c r="D29" s="2">
        <v>177</v>
      </c>
      <c r="G29" s="7" t="s">
        <v>38</v>
      </c>
      <c r="H29" s="7">
        <v>0.80641389118057571</v>
      </c>
    </row>
    <row r="30" spans="2:15" x14ac:dyDescent="0.45">
      <c r="B30" s="2">
        <v>28</v>
      </c>
      <c r="C30" s="2">
        <v>59</v>
      </c>
      <c r="D30" s="2">
        <v>196</v>
      </c>
      <c r="G30" s="7" t="s">
        <v>39</v>
      </c>
      <c r="H30" s="7">
        <v>0.78363905484887875</v>
      </c>
    </row>
    <row r="31" spans="2:15" x14ac:dyDescent="0.45">
      <c r="B31" s="2">
        <v>51</v>
      </c>
      <c r="C31" s="2">
        <v>76</v>
      </c>
      <c r="D31" s="2">
        <v>189</v>
      </c>
      <c r="G31" t="s">
        <v>40</v>
      </c>
      <c r="H31">
        <v>6.908263179856621</v>
      </c>
    </row>
    <row r="32" spans="2:15" ht="14.65" thickBot="1" x14ac:dyDescent="0.5">
      <c r="B32" s="2">
        <v>18</v>
      </c>
      <c r="C32" s="2">
        <v>56</v>
      </c>
      <c r="D32" s="2">
        <v>155</v>
      </c>
      <c r="G32" s="4" t="s">
        <v>41</v>
      </c>
      <c r="H32" s="4">
        <v>20</v>
      </c>
    </row>
    <row r="33" spans="2:15" x14ac:dyDescent="0.45">
      <c r="B33" s="2">
        <v>31</v>
      </c>
      <c r="C33" s="2">
        <v>78</v>
      </c>
      <c r="D33" s="2">
        <v>120</v>
      </c>
    </row>
    <row r="34" spans="2:15" ht="14.65" thickBot="1" x14ac:dyDescent="0.5">
      <c r="B34" s="2">
        <v>37</v>
      </c>
      <c r="C34" s="2">
        <v>80</v>
      </c>
      <c r="D34" s="2">
        <v>135</v>
      </c>
      <c r="G34" t="s">
        <v>42</v>
      </c>
    </row>
    <row r="35" spans="2:15" x14ac:dyDescent="0.45">
      <c r="B35" s="2">
        <v>15</v>
      </c>
      <c r="C35" s="2">
        <v>78</v>
      </c>
      <c r="D35" s="2">
        <v>98</v>
      </c>
      <c r="G35" s="5"/>
      <c r="H35" s="5" t="s">
        <v>47</v>
      </c>
      <c r="I35" s="5" t="s">
        <v>48</v>
      </c>
      <c r="J35" s="5" t="s">
        <v>49</v>
      </c>
      <c r="K35" s="5" t="s">
        <v>50</v>
      </c>
      <c r="L35" s="5" t="s">
        <v>51</v>
      </c>
    </row>
    <row r="36" spans="2:15" x14ac:dyDescent="0.45">
      <c r="B36" s="2">
        <v>22</v>
      </c>
      <c r="C36" s="2">
        <v>71</v>
      </c>
      <c r="D36" s="2">
        <v>152</v>
      </c>
      <c r="G36" t="s">
        <v>43</v>
      </c>
      <c r="H36">
        <v>2</v>
      </c>
      <c r="I36">
        <v>3379.6402972432338</v>
      </c>
      <c r="J36">
        <v>1689.8201486216169</v>
      </c>
      <c r="K36">
        <v>35.408109170832802</v>
      </c>
      <c r="L36">
        <v>8.6782192507419987E-7</v>
      </c>
    </row>
    <row r="37" spans="2:15" x14ac:dyDescent="0.45">
      <c r="B37" s="2">
        <v>36</v>
      </c>
      <c r="C37" s="2">
        <v>70</v>
      </c>
      <c r="D37" s="2">
        <v>173</v>
      </c>
      <c r="G37" t="s">
        <v>44</v>
      </c>
      <c r="H37">
        <v>17</v>
      </c>
      <c r="I37">
        <v>811.30970275676611</v>
      </c>
      <c r="J37">
        <v>47.724100162162713</v>
      </c>
    </row>
    <row r="38" spans="2:15" ht="14.65" thickBot="1" x14ac:dyDescent="0.5">
      <c r="B38" s="2">
        <v>15</v>
      </c>
      <c r="C38" s="2">
        <v>67</v>
      </c>
      <c r="D38" s="2">
        <v>135</v>
      </c>
      <c r="G38" s="4" t="s">
        <v>45</v>
      </c>
      <c r="H38" s="4">
        <v>19</v>
      </c>
      <c r="I38" s="4">
        <v>4190.95</v>
      </c>
      <c r="J38" s="4"/>
      <c r="K38" s="4"/>
      <c r="L38" s="4"/>
    </row>
    <row r="39" spans="2:15" ht="14.65" thickBot="1" x14ac:dyDescent="0.5">
      <c r="B39" s="2">
        <v>48</v>
      </c>
      <c r="C39" s="2">
        <v>77</v>
      </c>
      <c r="D39" s="2">
        <v>209</v>
      </c>
    </row>
    <row r="40" spans="2:15" x14ac:dyDescent="0.45">
      <c r="B40" s="2">
        <v>15</v>
      </c>
      <c r="C40" s="2">
        <v>60</v>
      </c>
      <c r="D40" s="2">
        <v>199</v>
      </c>
      <c r="G40" s="5"/>
      <c r="H40" s="5" t="s">
        <v>52</v>
      </c>
      <c r="I40" s="5" t="s">
        <v>40</v>
      </c>
      <c r="J40" s="5" t="s">
        <v>53</v>
      </c>
      <c r="K40" s="5" t="s">
        <v>54</v>
      </c>
      <c r="L40" s="5" t="s">
        <v>55</v>
      </c>
      <c r="M40" s="5" t="s">
        <v>56</v>
      </c>
      <c r="N40" s="5" t="s">
        <v>57</v>
      </c>
      <c r="O40" s="5" t="s">
        <v>58</v>
      </c>
    </row>
    <row r="41" spans="2:15" x14ac:dyDescent="0.45">
      <c r="B41" s="2">
        <v>36</v>
      </c>
      <c r="C41" s="2">
        <v>82</v>
      </c>
      <c r="D41" s="2">
        <v>119</v>
      </c>
      <c r="G41" t="s">
        <v>46</v>
      </c>
      <c r="H41">
        <v>-110.94226300302191</v>
      </c>
      <c r="I41">
        <v>16.469870724884803</v>
      </c>
      <c r="J41">
        <v>-6.7360736982225395</v>
      </c>
      <c r="K41">
        <v>3.4870480644480111E-6</v>
      </c>
      <c r="L41">
        <v>-145.69065282328478</v>
      </c>
      <c r="M41">
        <v>-76.193873182759035</v>
      </c>
      <c r="N41">
        <v>-145.69065282328478</v>
      </c>
      <c r="O41">
        <v>-76.193873182759035</v>
      </c>
    </row>
    <row r="42" spans="2:15" x14ac:dyDescent="0.45">
      <c r="B42" s="2">
        <v>8</v>
      </c>
      <c r="C42" s="2">
        <v>66</v>
      </c>
      <c r="D42" s="2">
        <v>166</v>
      </c>
      <c r="G42" t="s">
        <v>71</v>
      </c>
      <c r="H42">
        <v>1.3150048577531586</v>
      </c>
      <c r="I42">
        <v>0.17328986243669267</v>
      </c>
      <c r="J42">
        <v>7.5884696269152174</v>
      </c>
      <c r="K42">
        <v>7.4346270078787782E-7</v>
      </c>
      <c r="L42">
        <v>0.94939520650363174</v>
      </c>
      <c r="M42">
        <v>1.6806145090026854</v>
      </c>
      <c r="N42">
        <v>0.94939520650363174</v>
      </c>
      <c r="O42">
        <v>1.6806145090026854</v>
      </c>
    </row>
    <row r="43" spans="2:15" ht="14.65" thickBot="1" x14ac:dyDescent="0.5">
      <c r="B43" s="2">
        <v>34</v>
      </c>
      <c r="C43" s="2">
        <v>80</v>
      </c>
      <c r="D43" s="2">
        <v>125</v>
      </c>
      <c r="G43" s="4" t="s">
        <v>72</v>
      </c>
      <c r="H43" s="4">
        <v>0.29640468257202451</v>
      </c>
      <c r="I43" s="4">
        <v>5.1068965860775098E-2</v>
      </c>
      <c r="J43" s="4">
        <v>5.8040079248929173</v>
      </c>
      <c r="K43" s="4">
        <v>2.1152494225453596E-5</v>
      </c>
      <c r="L43" s="4">
        <v>0.18865858285512338</v>
      </c>
      <c r="M43" s="4">
        <v>0.40415078228892565</v>
      </c>
      <c r="N43" s="4">
        <v>0.18865858285512338</v>
      </c>
      <c r="O43" s="4">
        <v>0.40415078228892565</v>
      </c>
    </row>
    <row r="44" spans="2:15" x14ac:dyDescent="0.45">
      <c r="B44" s="2">
        <v>3</v>
      </c>
      <c r="C44" s="2">
        <v>62</v>
      </c>
      <c r="D44" s="2">
        <v>117</v>
      </c>
    </row>
    <row r="45" spans="2:15" x14ac:dyDescent="0.45">
      <c r="B45" s="2">
        <v>37</v>
      </c>
      <c r="C45" s="2">
        <v>59</v>
      </c>
      <c r="D45" s="2">
        <v>207</v>
      </c>
    </row>
    <row r="48" spans="2:15" x14ac:dyDescent="0.45">
      <c r="B48" s="2" t="s">
        <v>70</v>
      </c>
      <c r="C48" s="2" t="s">
        <v>72</v>
      </c>
      <c r="D48" s="2" t="s">
        <v>73</v>
      </c>
      <c r="G48" t="s">
        <v>35</v>
      </c>
    </row>
    <row r="49" spans="2:15" ht="14.65" thickBot="1" x14ac:dyDescent="0.5">
      <c r="B49" s="2">
        <v>12</v>
      </c>
      <c r="C49" s="2">
        <v>152</v>
      </c>
      <c r="D49" s="2">
        <v>0</v>
      </c>
    </row>
    <row r="50" spans="2:15" x14ac:dyDescent="0.45">
      <c r="B50" s="2">
        <v>24</v>
      </c>
      <c r="C50" s="2">
        <v>163</v>
      </c>
      <c r="D50" s="2">
        <v>0</v>
      </c>
      <c r="G50" s="6" t="s">
        <v>36</v>
      </c>
      <c r="H50" s="6"/>
    </row>
    <row r="51" spans="2:15" x14ac:dyDescent="0.45">
      <c r="B51" s="2">
        <v>13</v>
      </c>
      <c r="C51" s="2">
        <v>155</v>
      </c>
      <c r="D51" s="2">
        <v>0</v>
      </c>
      <c r="G51" t="s">
        <v>37</v>
      </c>
      <c r="H51">
        <v>0.73529884433650716</v>
      </c>
    </row>
    <row r="52" spans="2:15" x14ac:dyDescent="0.45">
      <c r="B52" s="2">
        <v>56</v>
      </c>
      <c r="C52" s="2">
        <v>177</v>
      </c>
      <c r="D52" s="2">
        <v>1</v>
      </c>
      <c r="G52" s="7" t="s">
        <v>38</v>
      </c>
      <c r="H52" s="7">
        <v>0.54066439048260306</v>
      </c>
    </row>
    <row r="53" spans="2:15" x14ac:dyDescent="0.45">
      <c r="B53" s="2">
        <v>28</v>
      </c>
      <c r="C53" s="2">
        <v>196</v>
      </c>
      <c r="D53" s="2">
        <v>0</v>
      </c>
      <c r="G53" s="7" t="s">
        <v>39</v>
      </c>
      <c r="H53" s="7">
        <v>0.48662490700996808</v>
      </c>
    </row>
    <row r="54" spans="2:15" x14ac:dyDescent="0.45">
      <c r="B54" s="2">
        <v>51</v>
      </c>
      <c r="C54" s="2">
        <v>189</v>
      </c>
      <c r="D54" s="2">
        <v>1</v>
      </c>
      <c r="G54" t="s">
        <v>40</v>
      </c>
      <c r="H54">
        <v>10.641352669177904</v>
      </c>
    </row>
    <row r="55" spans="2:15" ht="14.65" thickBot="1" x14ac:dyDescent="0.5">
      <c r="B55" s="2">
        <v>18</v>
      </c>
      <c r="C55" s="2">
        <v>155</v>
      </c>
      <c r="D55" s="2">
        <v>1</v>
      </c>
      <c r="G55" s="4" t="s">
        <v>41</v>
      </c>
      <c r="H55" s="4">
        <v>20</v>
      </c>
    </row>
    <row r="56" spans="2:15" x14ac:dyDescent="0.45">
      <c r="B56" s="2">
        <v>31</v>
      </c>
      <c r="C56" s="2">
        <v>120</v>
      </c>
      <c r="D56" s="2">
        <v>0</v>
      </c>
    </row>
    <row r="57" spans="2:15" ht="14.65" thickBot="1" x14ac:dyDescent="0.5">
      <c r="B57" s="2">
        <v>37</v>
      </c>
      <c r="C57" s="2">
        <v>135</v>
      </c>
      <c r="D57" s="2">
        <v>1</v>
      </c>
      <c r="G57" t="s">
        <v>42</v>
      </c>
    </row>
    <row r="58" spans="2:15" x14ac:dyDescent="0.45">
      <c r="B58" s="2">
        <v>15</v>
      </c>
      <c r="C58" s="2">
        <v>98</v>
      </c>
      <c r="D58" s="2">
        <v>0</v>
      </c>
      <c r="G58" s="5"/>
      <c r="H58" s="5" t="s">
        <v>47</v>
      </c>
      <c r="I58" s="5" t="s">
        <v>48</v>
      </c>
      <c r="J58" s="5" t="s">
        <v>49</v>
      </c>
      <c r="K58" s="5" t="s">
        <v>50</v>
      </c>
      <c r="L58" s="5" t="s">
        <v>51</v>
      </c>
    </row>
    <row r="59" spans="2:15" x14ac:dyDescent="0.45">
      <c r="B59" s="2">
        <v>22</v>
      </c>
      <c r="C59" s="2">
        <v>152</v>
      </c>
      <c r="D59" s="2">
        <v>0</v>
      </c>
      <c r="G59" t="s">
        <v>43</v>
      </c>
      <c r="H59">
        <v>2</v>
      </c>
      <c r="I59">
        <v>2265.897427293065</v>
      </c>
      <c r="J59">
        <v>1132.9487136465325</v>
      </c>
      <c r="K59">
        <v>10.004988126068787</v>
      </c>
      <c r="L59">
        <v>1.34309266435867E-3</v>
      </c>
    </row>
    <row r="60" spans="2:15" x14ac:dyDescent="0.45">
      <c r="B60" s="2">
        <v>36</v>
      </c>
      <c r="C60" s="2">
        <v>173</v>
      </c>
      <c r="D60" s="2">
        <v>1</v>
      </c>
      <c r="G60" t="s">
        <v>44</v>
      </c>
      <c r="H60">
        <v>17</v>
      </c>
      <c r="I60">
        <v>1925.0525727069348</v>
      </c>
      <c r="J60">
        <v>113.2383866298197</v>
      </c>
    </row>
    <row r="61" spans="2:15" ht="14.65" thickBot="1" x14ac:dyDescent="0.5">
      <c r="B61" s="2">
        <v>15</v>
      </c>
      <c r="C61" s="2">
        <v>135</v>
      </c>
      <c r="D61" s="2">
        <v>1</v>
      </c>
      <c r="G61" s="4" t="s">
        <v>45</v>
      </c>
      <c r="H61" s="4">
        <v>19</v>
      </c>
      <c r="I61" s="4">
        <v>4190.95</v>
      </c>
      <c r="J61" s="4"/>
      <c r="K61" s="4"/>
      <c r="L61" s="4"/>
    </row>
    <row r="62" spans="2:15" ht="14.65" thickBot="1" x14ac:dyDescent="0.5">
      <c r="B62" s="2">
        <v>48</v>
      </c>
      <c r="C62" s="2">
        <v>209</v>
      </c>
      <c r="D62" s="2">
        <v>1</v>
      </c>
    </row>
    <row r="63" spans="2:15" x14ac:dyDescent="0.45">
      <c r="B63" s="2">
        <v>15</v>
      </c>
      <c r="C63" s="2">
        <v>199</v>
      </c>
      <c r="D63" s="2">
        <v>0</v>
      </c>
      <c r="G63" s="5"/>
      <c r="H63" s="5" t="s">
        <v>52</v>
      </c>
      <c r="I63" s="5" t="s">
        <v>40</v>
      </c>
      <c r="J63" s="5" t="s">
        <v>53</v>
      </c>
      <c r="K63" s="5" t="s">
        <v>54</v>
      </c>
      <c r="L63" s="5" t="s">
        <v>55</v>
      </c>
      <c r="M63" s="5" t="s">
        <v>56</v>
      </c>
      <c r="N63" s="5" t="s">
        <v>57</v>
      </c>
      <c r="O63" s="5" t="s">
        <v>58</v>
      </c>
    </row>
    <row r="64" spans="2:15" x14ac:dyDescent="0.45">
      <c r="B64" s="2">
        <v>36</v>
      </c>
      <c r="C64" s="2">
        <v>119</v>
      </c>
      <c r="D64" s="2">
        <v>1</v>
      </c>
      <c r="G64" t="s">
        <v>46</v>
      </c>
      <c r="H64">
        <v>-2.4268456375838792</v>
      </c>
      <c r="I64">
        <v>11.999797849178707</v>
      </c>
      <c r="J64">
        <v>-0.202240543389652</v>
      </c>
      <c r="K64">
        <v>0.84212917824589084</v>
      </c>
      <c r="L64">
        <v>-27.744206070631847</v>
      </c>
      <c r="M64">
        <v>22.890514795464085</v>
      </c>
      <c r="N64">
        <v>-27.744206070631847</v>
      </c>
      <c r="O64">
        <v>22.890514795464085</v>
      </c>
    </row>
    <row r="65" spans="2:15" x14ac:dyDescent="0.45">
      <c r="B65" s="2">
        <v>8</v>
      </c>
      <c r="C65" s="2">
        <v>166</v>
      </c>
      <c r="D65" s="2">
        <v>0</v>
      </c>
      <c r="G65" t="s">
        <v>72</v>
      </c>
      <c r="H65">
        <v>0.12863534675615204</v>
      </c>
      <c r="I65">
        <v>7.5878150526783719E-2</v>
      </c>
      <c r="J65">
        <v>1.6952883783157828</v>
      </c>
      <c r="K65">
        <v>0.10825716205588318</v>
      </c>
      <c r="L65">
        <v>-3.1453557242437563E-2</v>
      </c>
      <c r="M65">
        <v>0.28872425075474162</v>
      </c>
      <c r="N65">
        <v>-3.1453557242437563E-2</v>
      </c>
      <c r="O65">
        <v>0.28872425075474162</v>
      </c>
    </row>
    <row r="66" spans="2:15" ht="14.65" thickBot="1" x14ac:dyDescent="0.5">
      <c r="B66" s="2">
        <v>34</v>
      </c>
      <c r="C66" s="2">
        <v>125</v>
      </c>
      <c r="D66" s="2">
        <v>1</v>
      </c>
      <c r="G66" s="4" t="s">
        <v>73</v>
      </c>
      <c r="H66" s="4">
        <v>18.336465324384786</v>
      </c>
      <c r="I66" s="4">
        <v>4.8264468629801263</v>
      </c>
      <c r="J66" s="4">
        <v>3.7991644464231804</v>
      </c>
      <c r="K66" s="4">
        <v>1.4334441055620008E-3</v>
      </c>
      <c r="L66" s="4">
        <v>8.1535525472845709</v>
      </c>
      <c r="M66" s="4">
        <v>28.519378101485003</v>
      </c>
      <c r="N66" s="4">
        <v>8.1535525472845709</v>
      </c>
      <c r="O66" s="4">
        <v>28.519378101485003</v>
      </c>
    </row>
    <row r="67" spans="2:15" x14ac:dyDescent="0.45">
      <c r="B67" s="2">
        <v>3</v>
      </c>
      <c r="C67" s="2">
        <v>117</v>
      </c>
      <c r="D67" s="2">
        <v>0</v>
      </c>
    </row>
    <row r="68" spans="2:15" x14ac:dyDescent="0.45">
      <c r="B68" s="2">
        <v>37</v>
      </c>
      <c r="C68" s="2">
        <v>207</v>
      </c>
      <c r="D68" s="2">
        <v>1</v>
      </c>
    </row>
    <row r="70" spans="2:15" x14ac:dyDescent="0.45">
      <c r="B70" s="2" t="s">
        <v>70</v>
      </c>
      <c r="C70" s="2" t="s">
        <v>71</v>
      </c>
      <c r="D70" s="2" t="s">
        <v>73</v>
      </c>
      <c r="G70" t="s">
        <v>35</v>
      </c>
    </row>
    <row r="71" spans="2:15" ht="14.65" thickBot="1" x14ac:dyDescent="0.5">
      <c r="B71" s="2">
        <v>12</v>
      </c>
      <c r="C71" s="2">
        <v>57</v>
      </c>
      <c r="D71" s="2">
        <v>0</v>
      </c>
    </row>
    <row r="72" spans="2:15" x14ac:dyDescent="0.45">
      <c r="B72" s="2">
        <v>24</v>
      </c>
      <c r="C72" s="2">
        <v>67</v>
      </c>
      <c r="D72" s="2">
        <v>0</v>
      </c>
      <c r="G72" s="6" t="s">
        <v>36</v>
      </c>
      <c r="H72" s="6"/>
    </row>
    <row r="73" spans="2:15" x14ac:dyDescent="0.45">
      <c r="B73" s="2">
        <v>13</v>
      </c>
      <c r="C73" s="2">
        <v>58</v>
      </c>
      <c r="D73" s="2">
        <v>0</v>
      </c>
      <c r="G73" t="s">
        <v>37</v>
      </c>
      <c r="H73">
        <v>0.79268600226098085</v>
      </c>
    </row>
    <row r="74" spans="2:15" x14ac:dyDescent="0.45">
      <c r="B74" s="2">
        <v>56</v>
      </c>
      <c r="C74" s="2">
        <v>86</v>
      </c>
      <c r="D74" s="2">
        <v>1</v>
      </c>
      <c r="G74" s="7" t="s">
        <v>38</v>
      </c>
      <c r="H74" s="7">
        <v>0.62835109818049573</v>
      </c>
    </row>
    <row r="75" spans="2:15" x14ac:dyDescent="0.45">
      <c r="B75" s="2">
        <v>28</v>
      </c>
      <c r="C75" s="2">
        <v>59</v>
      </c>
      <c r="D75" s="2">
        <v>0</v>
      </c>
      <c r="G75" s="7" t="s">
        <v>39</v>
      </c>
      <c r="H75" s="7">
        <v>0.58462769796643643</v>
      </c>
    </row>
    <row r="76" spans="2:15" x14ac:dyDescent="0.45">
      <c r="B76" s="2">
        <v>51</v>
      </c>
      <c r="C76" s="2">
        <v>76</v>
      </c>
      <c r="D76" s="2">
        <v>1</v>
      </c>
      <c r="G76" t="s">
        <v>40</v>
      </c>
      <c r="H76">
        <v>9.5719011728891132</v>
      </c>
    </row>
    <row r="77" spans="2:15" ht="14.65" thickBot="1" x14ac:dyDescent="0.5">
      <c r="B77" s="2">
        <v>18</v>
      </c>
      <c r="C77" s="2">
        <v>56</v>
      </c>
      <c r="D77" s="2">
        <v>1</v>
      </c>
      <c r="G77" s="4" t="s">
        <v>41</v>
      </c>
      <c r="H77" s="4">
        <v>20</v>
      </c>
    </row>
    <row r="78" spans="2:15" x14ac:dyDescent="0.45">
      <c r="B78" s="2">
        <v>31</v>
      </c>
      <c r="C78" s="2">
        <v>78</v>
      </c>
      <c r="D78" s="2">
        <v>0</v>
      </c>
    </row>
    <row r="79" spans="2:15" ht="14.65" thickBot="1" x14ac:dyDescent="0.5">
      <c r="B79" s="2">
        <v>37</v>
      </c>
      <c r="C79" s="2">
        <v>80</v>
      </c>
      <c r="D79" s="2">
        <v>1</v>
      </c>
      <c r="G79" t="s">
        <v>42</v>
      </c>
    </row>
    <row r="80" spans="2:15" x14ac:dyDescent="0.45">
      <c r="B80" s="2">
        <v>15</v>
      </c>
      <c r="C80" s="2">
        <v>78</v>
      </c>
      <c r="D80" s="2">
        <v>0</v>
      </c>
      <c r="G80" s="5"/>
      <c r="H80" s="5" t="s">
        <v>47</v>
      </c>
      <c r="I80" s="5" t="s">
        <v>48</v>
      </c>
      <c r="J80" s="5" t="s">
        <v>49</v>
      </c>
      <c r="K80" s="5" t="s">
        <v>50</v>
      </c>
      <c r="L80" s="5" t="s">
        <v>51</v>
      </c>
    </row>
    <row r="81" spans="2:15" x14ac:dyDescent="0.45">
      <c r="B81" s="2">
        <v>22</v>
      </c>
      <c r="C81" s="2">
        <v>71</v>
      </c>
      <c r="D81" s="2">
        <v>0</v>
      </c>
      <c r="G81" t="s">
        <v>43</v>
      </c>
      <c r="H81">
        <v>2</v>
      </c>
      <c r="I81">
        <v>2633.3880349195483</v>
      </c>
      <c r="J81">
        <v>1316.6940174597742</v>
      </c>
      <c r="K81">
        <v>14.371048342632063</v>
      </c>
      <c r="L81">
        <v>2.2188567129932923E-4</v>
      </c>
    </row>
    <row r="82" spans="2:15" x14ac:dyDescent="0.45">
      <c r="B82" s="2">
        <v>36</v>
      </c>
      <c r="C82" s="2">
        <v>70</v>
      </c>
      <c r="D82" s="2">
        <v>1</v>
      </c>
      <c r="G82" t="s">
        <v>44</v>
      </c>
      <c r="H82">
        <v>17</v>
      </c>
      <c r="I82">
        <v>1557.5619650804515</v>
      </c>
      <c r="J82">
        <v>91.62129206355597</v>
      </c>
    </row>
    <row r="83" spans="2:15" ht="14.65" thickBot="1" x14ac:dyDescent="0.5">
      <c r="B83" s="2">
        <v>15</v>
      </c>
      <c r="C83" s="2">
        <v>67</v>
      </c>
      <c r="D83" s="2">
        <v>1</v>
      </c>
      <c r="G83" s="4" t="s">
        <v>45</v>
      </c>
      <c r="H83" s="4">
        <v>19</v>
      </c>
      <c r="I83" s="4">
        <v>4190.95</v>
      </c>
      <c r="J83" s="4"/>
      <c r="K83" s="4"/>
      <c r="L83" s="4"/>
    </row>
    <row r="84" spans="2:15" ht="14.65" thickBot="1" x14ac:dyDescent="0.5">
      <c r="B84" s="2">
        <v>48</v>
      </c>
      <c r="C84" s="2">
        <v>77</v>
      </c>
      <c r="D84" s="2">
        <v>1</v>
      </c>
    </row>
    <row r="85" spans="2:15" x14ac:dyDescent="0.45">
      <c r="B85" s="2">
        <v>15</v>
      </c>
      <c r="C85" s="2">
        <v>60</v>
      </c>
      <c r="D85" s="2">
        <v>0</v>
      </c>
      <c r="G85" s="5"/>
      <c r="H85" s="5" t="s">
        <v>52</v>
      </c>
      <c r="I85" s="5" t="s">
        <v>40</v>
      </c>
      <c r="J85" s="5" t="s">
        <v>53</v>
      </c>
      <c r="K85" s="5" t="s">
        <v>54</v>
      </c>
      <c r="L85" s="5" t="s">
        <v>55</v>
      </c>
      <c r="M85" s="5" t="s">
        <v>56</v>
      </c>
      <c r="N85" s="5" t="s">
        <v>57</v>
      </c>
      <c r="O85" s="5" t="s">
        <v>58</v>
      </c>
    </row>
    <row r="86" spans="2:15" x14ac:dyDescent="0.45">
      <c r="B86" s="2">
        <v>36</v>
      </c>
      <c r="C86" s="2">
        <v>82</v>
      </c>
      <c r="D86" s="2">
        <v>1</v>
      </c>
      <c r="G86" t="s">
        <v>46</v>
      </c>
      <c r="H86">
        <v>-28.085621362547094</v>
      </c>
      <c r="I86">
        <v>16.707006386242259</v>
      </c>
      <c r="J86">
        <v>-1.6810684519564676</v>
      </c>
      <c r="K86">
        <v>0.11102835559231213</v>
      </c>
      <c r="L86">
        <v>-63.334323695201725</v>
      </c>
      <c r="M86">
        <v>7.1630809701075364</v>
      </c>
      <c r="N86">
        <v>-63.334323695201725</v>
      </c>
      <c r="O86">
        <v>7.1630809701075364</v>
      </c>
    </row>
    <row r="87" spans="2:15" x14ac:dyDescent="0.45">
      <c r="B87" s="2">
        <v>8</v>
      </c>
      <c r="C87" s="2">
        <v>66</v>
      </c>
      <c r="D87" s="2">
        <v>0</v>
      </c>
      <c r="G87" t="s">
        <v>71</v>
      </c>
      <c r="H87">
        <v>0.6888052036973642</v>
      </c>
      <c r="I87">
        <v>0.25046521871933558</v>
      </c>
      <c r="J87">
        <v>2.7501032168032093</v>
      </c>
      <c r="K87">
        <v>1.3665041419261746E-2</v>
      </c>
      <c r="L87">
        <v>0.16036978353788112</v>
      </c>
      <c r="M87">
        <v>1.2172406238568474</v>
      </c>
      <c r="N87">
        <v>0.16036978353788112</v>
      </c>
      <c r="O87">
        <v>1.2172406238568474</v>
      </c>
    </row>
    <row r="88" spans="2:15" ht="14.65" thickBot="1" x14ac:dyDescent="0.5">
      <c r="B88" s="2">
        <v>34</v>
      </c>
      <c r="C88" s="2">
        <v>80</v>
      </c>
      <c r="D88" s="2">
        <v>1</v>
      </c>
      <c r="G88" s="4" t="s">
        <v>73</v>
      </c>
      <c r="H88" s="4">
        <v>14.396199931530296</v>
      </c>
      <c r="I88" s="4">
        <v>4.6950705696175747</v>
      </c>
      <c r="J88" s="4">
        <v>3.0662371774963337</v>
      </c>
      <c r="K88" s="4">
        <v>6.9921585937403148E-3</v>
      </c>
      <c r="L88" s="4">
        <v>4.490466904724391</v>
      </c>
      <c r="M88" s="4">
        <v>24.301932958336202</v>
      </c>
      <c r="N88" s="4">
        <v>4.490466904724391</v>
      </c>
      <c r="O88" s="4">
        <v>24.301932958336202</v>
      </c>
    </row>
    <row r="89" spans="2:15" x14ac:dyDescent="0.45">
      <c r="B89" s="2">
        <v>3</v>
      </c>
      <c r="C89" s="2">
        <v>62</v>
      </c>
      <c r="D89" s="2">
        <v>0</v>
      </c>
    </row>
    <row r="90" spans="2:15" x14ac:dyDescent="0.45">
      <c r="B90" s="2">
        <v>37</v>
      </c>
      <c r="C90" s="2">
        <v>59</v>
      </c>
      <c r="D90" s="2">
        <v>1</v>
      </c>
    </row>
    <row r="92" spans="2:15" x14ac:dyDescent="0.45">
      <c r="B92" s="2" t="s">
        <v>70</v>
      </c>
      <c r="C92" s="2" t="s">
        <v>71</v>
      </c>
      <c r="D92" s="2"/>
      <c r="E92" s="2"/>
      <c r="G92" t="s">
        <v>35</v>
      </c>
    </row>
    <row r="93" spans="2:15" ht="14.65" thickBot="1" x14ac:dyDescent="0.5">
      <c r="B93" s="2">
        <v>12</v>
      </c>
      <c r="C93" s="2">
        <v>57</v>
      </c>
      <c r="D93" s="2"/>
      <c r="E93" s="2"/>
    </row>
    <row r="94" spans="2:15" x14ac:dyDescent="0.45">
      <c r="B94" s="2">
        <v>24</v>
      </c>
      <c r="C94" s="2">
        <v>67</v>
      </c>
      <c r="D94" s="2"/>
      <c r="E94" s="2"/>
      <c r="G94" s="6" t="s">
        <v>36</v>
      </c>
      <c r="H94" s="6"/>
    </row>
    <row r="95" spans="2:15" x14ac:dyDescent="0.45">
      <c r="B95" s="2">
        <v>13</v>
      </c>
      <c r="C95" s="2">
        <v>58</v>
      </c>
      <c r="D95" s="2"/>
      <c r="E95" s="2"/>
      <c r="G95" t="s">
        <v>37</v>
      </c>
      <c r="H95">
        <v>0.65023960055195928</v>
      </c>
    </row>
    <row r="96" spans="2:15" x14ac:dyDescent="0.45">
      <c r="B96" s="2">
        <v>56</v>
      </c>
      <c r="C96" s="2">
        <v>86</v>
      </c>
      <c r="D96" s="2"/>
      <c r="E96" s="2"/>
      <c r="G96" s="7" t="s">
        <v>38</v>
      </c>
      <c r="H96" s="7">
        <v>0.42281153812597161</v>
      </c>
    </row>
    <row r="97" spans="2:15" x14ac:dyDescent="0.45">
      <c r="B97" s="2">
        <v>28</v>
      </c>
      <c r="C97" s="2">
        <v>59</v>
      </c>
      <c r="D97" s="2"/>
      <c r="E97" s="2"/>
      <c r="G97" s="7" t="s">
        <v>39</v>
      </c>
      <c r="H97" s="7">
        <v>0.39074551246630335</v>
      </c>
    </row>
    <row r="98" spans="2:15" x14ac:dyDescent="0.45">
      <c r="B98" s="2">
        <v>51</v>
      </c>
      <c r="C98" s="2">
        <v>76</v>
      </c>
      <c r="D98" s="2"/>
      <c r="E98" s="2"/>
      <c r="G98" t="s">
        <v>40</v>
      </c>
      <c r="H98">
        <v>11.592545459836964</v>
      </c>
    </row>
    <row r="99" spans="2:15" ht="14.65" thickBot="1" x14ac:dyDescent="0.5">
      <c r="B99" s="2">
        <v>18</v>
      </c>
      <c r="C99" s="2">
        <v>56</v>
      </c>
      <c r="D99" s="2"/>
      <c r="E99" s="2"/>
      <c r="G99" s="4" t="s">
        <v>41</v>
      </c>
      <c r="H99" s="4">
        <v>20</v>
      </c>
    </row>
    <row r="100" spans="2:15" x14ac:dyDescent="0.45">
      <c r="B100" s="2">
        <v>31</v>
      </c>
      <c r="C100" s="2">
        <v>78</v>
      </c>
      <c r="D100" s="2"/>
      <c r="E100" s="2"/>
    </row>
    <row r="101" spans="2:15" ht="14.65" thickBot="1" x14ac:dyDescent="0.5">
      <c r="B101" s="2">
        <v>37</v>
      </c>
      <c r="C101" s="2">
        <v>80</v>
      </c>
      <c r="D101" s="2"/>
      <c r="E101" s="2"/>
      <c r="G101" t="s">
        <v>42</v>
      </c>
    </row>
    <row r="102" spans="2:15" x14ac:dyDescent="0.45">
      <c r="B102" s="2">
        <v>15</v>
      </c>
      <c r="C102" s="2">
        <v>78</v>
      </c>
      <c r="D102" s="2"/>
      <c r="E102" s="2"/>
      <c r="G102" s="5"/>
      <c r="H102" s="5" t="s">
        <v>47</v>
      </c>
      <c r="I102" s="5" t="s">
        <v>48</v>
      </c>
      <c r="J102" s="5" t="s">
        <v>49</v>
      </c>
      <c r="K102" s="5" t="s">
        <v>50</v>
      </c>
      <c r="L102" s="5" t="s">
        <v>51</v>
      </c>
    </row>
    <row r="103" spans="2:15" x14ac:dyDescent="0.45">
      <c r="B103" s="2">
        <v>22</v>
      </c>
      <c r="C103" s="2">
        <v>71</v>
      </c>
      <c r="D103" s="2"/>
      <c r="E103" s="2"/>
      <c r="G103" t="s">
        <v>43</v>
      </c>
      <c r="H103">
        <v>1</v>
      </c>
      <c r="I103">
        <v>1771.9820157090408</v>
      </c>
      <c r="J103">
        <v>1771.9820157090408</v>
      </c>
      <c r="K103">
        <v>13.185654580753743</v>
      </c>
      <c r="L103">
        <v>1.9098793539089744E-3</v>
      </c>
    </row>
    <row r="104" spans="2:15" x14ac:dyDescent="0.45">
      <c r="B104" s="2">
        <v>36</v>
      </c>
      <c r="C104" s="2">
        <v>70</v>
      </c>
      <c r="D104" s="2"/>
      <c r="E104" s="2"/>
      <c r="G104" t="s">
        <v>44</v>
      </c>
      <c r="H104">
        <v>18</v>
      </c>
      <c r="I104">
        <v>2418.9679842909591</v>
      </c>
      <c r="J104">
        <v>134.38711023838661</v>
      </c>
    </row>
    <row r="105" spans="2:15" ht="14.65" thickBot="1" x14ac:dyDescent="0.5">
      <c r="B105" s="2">
        <v>15</v>
      </c>
      <c r="C105" s="2">
        <v>67</v>
      </c>
      <c r="D105" s="2"/>
      <c r="E105" s="2"/>
      <c r="G105" s="4" t="s">
        <v>45</v>
      </c>
      <c r="H105" s="4">
        <v>19</v>
      </c>
      <c r="I105" s="4">
        <v>4190.95</v>
      </c>
      <c r="J105" s="4"/>
      <c r="K105" s="4"/>
      <c r="L105" s="4"/>
    </row>
    <row r="106" spans="2:15" ht="14.65" thickBot="1" x14ac:dyDescent="0.5">
      <c r="B106" s="2">
        <v>48</v>
      </c>
      <c r="C106" s="2">
        <v>77</v>
      </c>
      <c r="D106" s="2"/>
      <c r="E106" s="2"/>
    </row>
    <row r="107" spans="2:15" x14ac:dyDescent="0.45">
      <c r="B107" s="2">
        <v>15</v>
      </c>
      <c r="C107" s="2">
        <v>60</v>
      </c>
      <c r="D107" s="2"/>
      <c r="E107" s="2"/>
      <c r="G107" s="5"/>
      <c r="H107" s="5" t="s">
        <v>52</v>
      </c>
      <c r="I107" s="5" t="s">
        <v>40</v>
      </c>
      <c r="J107" s="5" t="s">
        <v>53</v>
      </c>
      <c r="K107" s="5" t="s">
        <v>54</v>
      </c>
      <c r="L107" s="5" t="s">
        <v>55</v>
      </c>
      <c r="M107" s="5" t="s">
        <v>56</v>
      </c>
      <c r="N107" s="5" t="s">
        <v>57</v>
      </c>
      <c r="O107" s="5" t="s">
        <v>58</v>
      </c>
    </row>
    <row r="108" spans="2:15" x14ac:dyDescent="0.45">
      <c r="B108" s="2">
        <v>36</v>
      </c>
      <c r="C108" s="2">
        <v>82</v>
      </c>
      <c r="D108" s="2"/>
      <c r="E108" s="2"/>
      <c r="G108" t="s">
        <v>46</v>
      </c>
      <c r="H108">
        <v>-42.796465465721866</v>
      </c>
      <c r="I108">
        <v>19.381648180808714</v>
      </c>
      <c r="J108">
        <v>-2.2080921636013389</v>
      </c>
      <c r="K108">
        <v>4.0450569620677952E-2</v>
      </c>
      <c r="L108">
        <v>-83.515797304980509</v>
      </c>
      <c r="M108">
        <v>-2.0771336264632225</v>
      </c>
      <c r="N108">
        <v>-83.515797304980509</v>
      </c>
      <c r="O108">
        <v>-2.0771336264632225</v>
      </c>
    </row>
    <row r="109" spans="2:15" ht="14.65" thickBot="1" x14ac:dyDescent="0.5">
      <c r="B109" s="2">
        <v>8</v>
      </c>
      <c r="C109" s="2">
        <v>66</v>
      </c>
      <c r="D109" s="2"/>
      <c r="E109" s="2"/>
      <c r="G109" s="4" t="s">
        <v>71</v>
      </c>
      <c r="H109" s="4">
        <v>1.0042687612054984</v>
      </c>
      <c r="I109" s="4">
        <v>0.2765662024915867</v>
      </c>
      <c r="J109" s="4">
        <v>3.6312056648933768</v>
      </c>
      <c r="K109" s="4">
        <v>1.9098793539089707E-3</v>
      </c>
      <c r="L109" s="4">
        <v>0.42322473080515799</v>
      </c>
      <c r="M109" s="4">
        <v>1.5853127916058387</v>
      </c>
      <c r="N109" s="4">
        <v>0.42322473080515799</v>
      </c>
      <c r="O109" s="4">
        <v>1.5853127916058387</v>
      </c>
    </row>
    <row r="110" spans="2:15" x14ac:dyDescent="0.45">
      <c r="B110" s="2">
        <v>34</v>
      </c>
      <c r="C110" s="2">
        <v>80</v>
      </c>
      <c r="D110" s="2"/>
      <c r="E110" s="2"/>
    </row>
    <row r="111" spans="2:15" x14ac:dyDescent="0.45">
      <c r="B111" s="2">
        <v>3</v>
      </c>
      <c r="C111" s="2">
        <v>62</v>
      </c>
      <c r="D111" s="2"/>
      <c r="E111" s="2"/>
    </row>
    <row r="112" spans="2:15" x14ac:dyDescent="0.45">
      <c r="B112" s="2">
        <v>37</v>
      </c>
      <c r="C112" s="2">
        <v>59</v>
      </c>
      <c r="D112" s="2"/>
      <c r="E112" s="2"/>
    </row>
    <row r="114" spans="2:12" x14ac:dyDescent="0.45">
      <c r="B114" s="2" t="s">
        <v>70</v>
      </c>
      <c r="C114" s="2" t="s">
        <v>72</v>
      </c>
      <c r="E114" s="2"/>
      <c r="G114" t="s">
        <v>35</v>
      </c>
    </row>
    <row r="115" spans="2:12" ht="14.65" thickBot="1" x14ac:dyDescent="0.5">
      <c r="B115" s="2">
        <v>12</v>
      </c>
      <c r="C115" s="2">
        <v>152</v>
      </c>
      <c r="E115" s="2"/>
    </row>
    <row r="116" spans="2:12" x14ac:dyDescent="0.45">
      <c r="B116" s="2">
        <v>24</v>
      </c>
      <c r="C116" s="2">
        <v>163</v>
      </c>
      <c r="E116" s="2"/>
      <c r="G116" s="6" t="s">
        <v>36</v>
      </c>
      <c r="H116" s="6"/>
    </row>
    <row r="117" spans="2:12" x14ac:dyDescent="0.45">
      <c r="B117" s="2">
        <v>13</v>
      </c>
      <c r="C117" s="2">
        <v>155</v>
      </c>
      <c r="E117" s="2"/>
      <c r="G117" t="s">
        <v>37</v>
      </c>
      <c r="H117">
        <v>0.38816347317133149</v>
      </c>
    </row>
    <row r="118" spans="2:12" x14ac:dyDescent="0.45">
      <c r="B118" s="2">
        <v>56</v>
      </c>
      <c r="C118" s="2">
        <v>177</v>
      </c>
      <c r="E118" s="2"/>
      <c r="G118" s="7" t="s">
        <v>38</v>
      </c>
      <c r="H118" s="7">
        <v>0.15067088190443098</v>
      </c>
    </row>
    <row r="119" spans="2:12" x14ac:dyDescent="0.45">
      <c r="B119" s="2">
        <v>28</v>
      </c>
      <c r="C119" s="2">
        <v>196</v>
      </c>
      <c r="E119" s="2"/>
      <c r="G119" s="7" t="s">
        <v>39</v>
      </c>
      <c r="H119" s="7">
        <v>0.10348593089912159</v>
      </c>
    </row>
    <row r="120" spans="2:12" x14ac:dyDescent="0.45">
      <c r="B120" s="2">
        <v>51</v>
      </c>
      <c r="C120" s="2">
        <v>189</v>
      </c>
      <c r="E120" s="2"/>
      <c r="G120" t="s">
        <v>40</v>
      </c>
      <c r="H120">
        <v>14.062352947344957</v>
      </c>
    </row>
    <row r="121" spans="2:12" ht="14.65" thickBot="1" x14ac:dyDescent="0.5">
      <c r="B121" s="2">
        <v>18</v>
      </c>
      <c r="C121" s="2">
        <v>155</v>
      </c>
      <c r="E121" s="2"/>
      <c r="G121" s="4" t="s">
        <v>41</v>
      </c>
      <c r="H121" s="4">
        <v>20</v>
      </c>
    </row>
    <row r="122" spans="2:12" x14ac:dyDescent="0.45">
      <c r="B122" s="2">
        <v>31</v>
      </c>
      <c r="C122" s="2">
        <v>120</v>
      </c>
      <c r="E122" s="2"/>
    </row>
    <row r="123" spans="2:12" ht="14.65" thickBot="1" x14ac:dyDescent="0.5">
      <c r="B123" s="2">
        <v>37</v>
      </c>
      <c r="C123" s="2">
        <v>135</v>
      </c>
      <c r="E123" s="2"/>
      <c r="G123" t="s">
        <v>42</v>
      </c>
    </row>
    <row r="124" spans="2:12" x14ac:dyDescent="0.45">
      <c r="B124" s="2">
        <v>15</v>
      </c>
      <c r="C124" s="2">
        <v>98</v>
      </c>
      <c r="E124" s="2"/>
      <c r="G124" s="5"/>
      <c r="H124" s="5" t="s">
        <v>47</v>
      </c>
      <c r="I124" s="5" t="s">
        <v>48</v>
      </c>
      <c r="J124" s="5" t="s">
        <v>49</v>
      </c>
      <c r="K124" s="5" t="s">
        <v>50</v>
      </c>
      <c r="L124" s="5" t="s">
        <v>51</v>
      </c>
    </row>
    <row r="125" spans="2:12" x14ac:dyDescent="0.45">
      <c r="B125" s="2">
        <v>22</v>
      </c>
      <c r="C125" s="2">
        <v>152</v>
      </c>
      <c r="E125" s="2"/>
      <c r="G125" t="s">
        <v>43</v>
      </c>
      <c r="H125">
        <v>1</v>
      </c>
      <c r="I125">
        <v>631.454132517375</v>
      </c>
      <c r="J125">
        <v>631.454132517375</v>
      </c>
      <c r="K125">
        <v>3.1931978034156918</v>
      </c>
      <c r="L125">
        <v>9.0797779388584854E-2</v>
      </c>
    </row>
    <row r="126" spans="2:12" x14ac:dyDescent="0.45">
      <c r="B126" s="2">
        <v>36</v>
      </c>
      <c r="C126" s="2">
        <v>173</v>
      </c>
      <c r="E126" s="2"/>
      <c r="G126" t="s">
        <v>44</v>
      </c>
      <c r="H126">
        <v>18</v>
      </c>
      <c r="I126">
        <v>3559.4958674826248</v>
      </c>
      <c r="J126">
        <v>197.74977041570139</v>
      </c>
    </row>
    <row r="127" spans="2:12" ht="14.65" thickBot="1" x14ac:dyDescent="0.5">
      <c r="B127" s="2">
        <v>15</v>
      </c>
      <c r="C127" s="2">
        <v>135</v>
      </c>
      <c r="E127" s="2"/>
      <c r="G127" s="4" t="s">
        <v>45</v>
      </c>
      <c r="H127" s="4">
        <v>19</v>
      </c>
      <c r="I127" s="4">
        <v>4190.95</v>
      </c>
      <c r="J127" s="4"/>
      <c r="K127" s="4"/>
      <c r="L127" s="4"/>
    </row>
    <row r="128" spans="2:12" ht="14.65" thickBot="1" x14ac:dyDescent="0.5">
      <c r="B128" s="2">
        <v>48</v>
      </c>
      <c r="C128" s="2">
        <v>209</v>
      </c>
      <c r="E128" s="2"/>
    </row>
    <row r="129" spans="2:15" x14ac:dyDescent="0.45">
      <c r="B129" s="2">
        <v>15</v>
      </c>
      <c r="C129" s="2">
        <v>199</v>
      </c>
      <c r="E129" s="2"/>
      <c r="G129" s="5"/>
      <c r="H129" s="5" t="s">
        <v>52</v>
      </c>
      <c r="I129" s="5" t="s">
        <v>40</v>
      </c>
      <c r="J129" s="5" t="s">
        <v>53</v>
      </c>
      <c r="K129" s="5" t="s">
        <v>54</v>
      </c>
      <c r="L129" s="5" t="s">
        <v>55</v>
      </c>
      <c r="M129" s="5" t="s">
        <v>56</v>
      </c>
      <c r="N129" s="5" t="s">
        <v>57</v>
      </c>
      <c r="O129" s="5" t="s">
        <v>58</v>
      </c>
    </row>
    <row r="130" spans="2:15" x14ac:dyDescent="0.45">
      <c r="B130" s="2">
        <v>36</v>
      </c>
      <c r="C130" s="2">
        <v>119</v>
      </c>
      <c r="E130" s="2"/>
      <c r="G130" t="s">
        <v>46</v>
      </c>
      <c r="H130">
        <v>-0.80564316009054693</v>
      </c>
      <c r="I130">
        <v>15.847483594792513</v>
      </c>
      <c r="J130">
        <v>-5.0837292575288198E-2</v>
      </c>
      <c r="K130">
        <v>0.96001507525221141</v>
      </c>
      <c r="L130">
        <v>-34.09997072674841</v>
      </c>
      <c r="M130">
        <v>32.488684406567316</v>
      </c>
      <c r="N130">
        <v>-34.09997072674841</v>
      </c>
      <c r="O130">
        <v>32.488684406567316</v>
      </c>
    </row>
    <row r="131" spans="2:15" ht="14.65" thickBot="1" x14ac:dyDescent="0.5">
      <c r="B131" s="2">
        <v>8</v>
      </c>
      <c r="C131" s="2">
        <v>166</v>
      </c>
      <c r="E131" s="2"/>
      <c r="G131" s="4" t="s">
        <v>72</v>
      </c>
      <c r="H131" s="4">
        <v>0.17667500420172214</v>
      </c>
      <c r="I131" s="4">
        <v>9.8869468476569577E-2</v>
      </c>
      <c r="J131" s="4">
        <v>1.7869520988027885</v>
      </c>
      <c r="K131" s="4">
        <v>9.0797779388584826E-2</v>
      </c>
      <c r="L131" s="4">
        <v>-3.1042041227619388E-2</v>
      </c>
      <c r="M131" s="4">
        <v>0.38439204963106366</v>
      </c>
      <c r="N131" s="4">
        <v>-3.1042041227619388E-2</v>
      </c>
      <c r="O131" s="4">
        <v>0.38439204963106366</v>
      </c>
    </row>
    <row r="132" spans="2:15" x14ac:dyDescent="0.45">
      <c r="B132" s="2">
        <v>34</v>
      </c>
      <c r="C132" s="2">
        <v>125</v>
      </c>
      <c r="E132" s="2"/>
    </row>
    <row r="133" spans="2:15" x14ac:dyDescent="0.45">
      <c r="B133" s="2">
        <v>3</v>
      </c>
      <c r="C133" s="2">
        <v>117</v>
      </c>
      <c r="E133" s="2"/>
    </row>
    <row r="134" spans="2:15" x14ac:dyDescent="0.45">
      <c r="B134" s="2">
        <v>37</v>
      </c>
      <c r="C134" s="2">
        <v>207</v>
      </c>
      <c r="E134" s="2"/>
    </row>
    <row r="136" spans="2:15" x14ac:dyDescent="0.45">
      <c r="B136" s="2" t="s">
        <v>70</v>
      </c>
      <c r="C136" s="2" t="s">
        <v>73</v>
      </c>
      <c r="D136" s="2"/>
      <c r="G136" t="s">
        <v>35</v>
      </c>
    </row>
    <row r="137" spans="2:15" ht="14.65" thickBot="1" x14ac:dyDescent="0.5">
      <c r="B137" s="2">
        <v>12</v>
      </c>
      <c r="C137" s="2">
        <v>0</v>
      </c>
      <c r="D137" s="2"/>
    </row>
    <row r="138" spans="2:15" x14ac:dyDescent="0.45">
      <c r="B138" s="2">
        <v>24</v>
      </c>
      <c r="C138" s="2">
        <v>0</v>
      </c>
      <c r="D138" s="2"/>
      <c r="G138" s="6" t="s">
        <v>36</v>
      </c>
      <c r="H138" s="6"/>
    </row>
    <row r="139" spans="2:15" x14ac:dyDescent="0.45">
      <c r="B139" s="2">
        <v>13</v>
      </c>
      <c r="C139" s="2">
        <v>0</v>
      </c>
      <c r="D139" s="2"/>
      <c r="G139" t="s">
        <v>37</v>
      </c>
      <c r="H139">
        <v>0.680448073086248</v>
      </c>
    </row>
    <row r="140" spans="2:15" x14ac:dyDescent="0.45">
      <c r="B140" s="2">
        <v>56</v>
      </c>
      <c r="C140" s="2">
        <v>1</v>
      </c>
      <c r="D140" s="2"/>
      <c r="G140" s="7" t="s">
        <v>38</v>
      </c>
      <c r="H140" s="7">
        <v>0.46300958016678795</v>
      </c>
    </row>
    <row r="141" spans="2:15" x14ac:dyDescent="0.45">
      <c r="B141" s="2">
        <v>28</v>
      </c>
      <c r="C141" s="2">
        <v>0</v>
      </c>
      <c r="D141" s="2"/>
      <c r="G141" s="7" t="s">
        <v>39</v>
      </c>
      <c r="H141" s="7">
        <v>0.4331767790649429</v>
      </c>
    </row>
    <row r="142" spans="2:15" x14ac:dyDescent="0.45">
      <c r="B142" s="2">
        <v>51</v>
      </c>
      <c r="C142" s="2">
        <v>1</v>
      </c>
      <c r="D142" s="2"/>
      <c r="G142" t="s">
        <v>40</v>
      </c>
      <c r="H142">
        <v>11.181582078479671</v>
      </c>
    </row>
    <row r="143" spans="2:15" ht="14.65" thickBot="1" x14ac:dyDescent="0.5">
      <c r="B143" s="2">
        <v>18</v>
      </c>
      <c r="C143" s="2">
        <v>1</v>
      </c>
      <c r="D143" s="2"/>
      <c r="G143" s="4" t="s">
        <v>41</v>
      </c>
      <c r="H143" s="4">
        <v>20</v>
      </c>
    </row>
    <row r="144" spans="2:15" x14ac:dyDescent="0.45">
      <c r="B144" s="2">
        <v>31</v>
      </c>
      <c r="C144" s="2">
        <v>0</v>
      </c>
      <c r="D144" s="2"/>
    </row>
    <row r="145" spans="2:15" ht="14.65" thickBot="1" x14ac:dyDescent="0.5">
      <c r="B145" s="2">
        <v>37</v>
      </c>
      <c r="C145" s="2">
        <v>1</v>
      </c>
      <c r="D145" s="2"/>
      <c r="G145" t="s">
        <v>42</v>
      </c>
    </row>
    <row r="146" spans="2:15" x14ac:dyDescent="0.45">
      <c r="B146" s="2">
        <v>15</v>
      </c>
      <c r="C146" s="2">
        <v>0</v>
      </c>
      <c r="D146" s="2"/>
      <c r="G146" s="5"/>
      <c r="H146" s="5" t="s">
        <v>47</v>
      </c>
      <c r="I146" s="5" t="s">
        <v>48</v>
      </c>
      <c r="J146" s="5" t="s">
        <v>49</v>
      </c>
      <c r="K146" s="5" t="s">
        <v>50</v>
      </c>
      <c r="L146" s="5" t="s">
        <v>51</v>
      </c>
    </row>
    <row r="147" spans="2:15" x14ac:dyDescent="0.45">
      <c r="B147" s="2">
        <v>22</v>
      </c>
      <c r="C147" s="2">
        <v>0</v>
      </c>
      <c r="D147" s="2"/>
      <c r="G147" t="s">
        <v>43</v>
      </c>
      <c r="H147">
        <v>1</v>
      </c>
      <c r="I147">
        <v>1940.4499999999998</v>
      </c>
      <c r="J147">
        <v>1940.4499999999998</v>
      </c>
      <c r="K147">
        <v>15.520151077538324</v>
      </c>
      <c r="L147">
        <v>9.6086534967501874E-4</v>
      </c>
    </row>
    <row r="148" spans="2:15" x14ac:dyDescent="0.45">
      <c r="B148" s="2">
        <v>36</v>
      </c>
      <c r="C148" s="2">
        <v>1</v>
      </c>
      <c r="D148" s="2"/>
      <c r="G148" t="s">
        <v>44</v>
      </c>
      <c r="H148">
        <v>18</v>
      </c>
      <c r="I148">
        <v>2250.5</v>
      </c>
      <c r="J148">
        <v>125.02777777777777</v>
      </c>
    </row>
    <row r="149" spans="2:15" ht="14.65" thickBot="1" x14ac:dyDescent="0.5">
      <c r="B149" s="2">
        <v>15</v>
      </c>
      <c r="C149" s="2">
        <v>1</v>
      </c>
      <c r="D149" s="2"/>
      <c r="G149" s="4" t="s">
        <v>45</v>
      </c>
      <c r="H149" s="4">
        <v>19</v>
      </c>
      <c r="I149" s="4">
        <v>4190.95</v>
      </c>
      <c r="J149" s="4"/>
      <c r="K149" s="4"/>
      <c r="L149" s="4"/>
    </row>
    <row r="150" spans="2:15" ht="14.65" thickBot="1" x14ac:dyDescent="0.5">
      <c r="B150" s="2">
        <v>48</v>
      </c>
      <c r="C150" s="2">
        <v>1</v>
      </c>
      <c r="D150" s="2"/>
    </row>
    <row r="151" spans="2:15" x14ac:dyDescent="0.45">
      <c r="B151" s="2">
        <v>15</v>
      </c>
      <c r="C151" s="2">
        <v>0</v>
      </c>
      <c r="D151" s="2"/>
      <c r="G151" s="5"/>
      <c r="H151" s="5" t="s">
        <v>52</v>
      </c>
      <c r="I151" s="5" t="s">
        <v>40</v>
      </c>
      <c r="J151" s="5" t="s">
        <v>53</v>
      </c>
      <c r="K151" s="5" t="s">
        <v>54</v>
      </c>
      <c r="L151" s="5" t="s">
        <v>55</v>
      </c>
      <c r="M151" s="5" t="s">
        <v>56</v>
      </c>
      <c r="N151" s="5" t="s">
        <v>57</v>
      </c>
      <c r="O151" s="5" t="s">
        <v>58</v>
      </c>
    </row>
    <row r="152" spans="2:15" x14ac:dyDescent="0.45">
      <c r="B152" s="2">
        <v>36</v>
      </c>
      <c r="C152" s="2">
        <v>1</v>
      </c>
      <c r="D152" s="2"/>
      <c r="G152" t="s">
        <v>46</v>
      </c>
      <c r="H152">
        <v>17.100000000000001</v>
      </c>
      <c r="I152">
        <v>3.5359267212115379</v>
      </c>
      <c r="J152">
        <v>4.8360730717125593</v>
      </c>
      <c r="K152">
        <v>1.3254780544984373E-4</v>
      </c>
      <c r="L152">
        <v>9.6712936187294538</v>
      </c>
      <c r="M152">
        <v>24.528706381270549</v>
      </c>
      <c r="N152">
        <v>9.6712936187294538</v>
      </c>
      <c r="O152">
        <v>24.528706381270549</v>
      </c>
    </row>
    <row r="153" spans="2:15" ht="14.65" thickBot="1" x14ac:dyDescent="0.5">
      <c r="B153" s="2">
        <v>8</v>
      </c>
      <c r="C153" s="2">
        <v>0</v>
      </c>
      <c r="D153" s="2"/>
      <c r="G153" s="4" t="s">
        <v>73</v>
      </c>
      <c r="H153" s="4">
        <v>19.7</v>
      </c>
      <c r="I153" s="4">
        <v>5.0005555246947866</v>
      </c>
      <c r="J153" s="4">
        <v>3.9395622951716764</v>
      </c>
      <c r="K153" s="4">
        <v>9.6086534967501614E-4</v>
      </c>
      <c r="L153" s="4">
        <v>9.1942226847196356</v>
      </c>
      <c r="M153" s="4">
        <v>30.205777315280365</v>
      </c>
      <c r="N153" s="4">
        <v>9.1942226847196356</v>
      </c>
      <c r="O153" s="4">
        <v>30.205777315280365</v>
      </c>
    </row>
    <row r="154" spans="2:15" x14ac:dyDescent="0.45">
      <c r="B154" s="2">
        <v>34</v>
      </c>
      <c r="C154" s="2">
        <v>1</v>
      </c>
      <c r="D154" s="2"/>
    </row>
    <row r="155" spans="2:15" x14ac:dyDescent="0.45">
      <c r="B155" s="2">
        <v>3</v>
      </c>
      <c r="C155" s="2">
        <v>0</v>
      </c>
      <c r="D155" s="2"/>
    </row>
    <row r="156" spans="2:15" x14ac:dyDescent="0.45">
      <c r="B156" s="2">
        <v>37</v>
      </c>
      <c r="C156" s="2">
        <v>1</v>
      </c>
      <c r="D15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66A66-2867-4BD6-8258-011828C7ED0F}">
  <dimension ref="B4:Y26"/>
  <sheetViews>
    <sheetView topLeftCell="A4" zoomScale="145" zoomScaleNormal="145" workbookViewId="0">
      <selection activeCell="O26" sqref="L22:O26"/>
    </sheetView>
  </sheetViews>
  <sheetFormatPr defaultRowHeight="14.25" x14ac:dyDescent="0.45"/>
  <cols>
    <col min="22" max="22" width="14" customWidth="1"/>
  </cols>
  <sheetData>
    <row r="4" spans="2:22" x14ac:dyDescent="0.45">
      <c r="B4" s="11" t="s">
        <v>74</v>
      </c>
    </row>
    <row r="6" spans="2:22" x14ac:dyDescent="0.45">
      <c r="B6" s="10" t="s">
        <v>75</v>
      </c>
      <c r="C6" s="10" t="s">
        <v>76</v>
      </c>
      <c r="D6" s="10" t="s">
        <v>77</v>
      </c>
      <c r="E6" s="10" t="s">
        <v>78</v>
      </c>
      <c r="G6" s="10" t="s">
        <v>79</v>
      </c>
      <c r="H6" s="10" t="s">
        <v>80</v>
      </c>
      <c r="I6" s="10" t="s">
        <v>81</v>
      </c>
      <c r="J6" s="10" t="s">
        <v>82</v>
      </c>
      <c r="K6" s="10"/>
      <c r="L6" s="10" t="s">
        <v>87</v>
      </c>
      <c r="M6" s="10" t="s">
        <v>79</v>
      </c>
      <c r="N6" s="10" t="s">
        <v>80</v>
      </c>
      <c r="O6" s="10" t="s">
        <v>81</v>
      </c>
      <c r="Q6" t="s">
        <v>35</v>
      </c>
      <c r="U6" t="s">
        <v>104</v>
      </c>
    </row>
    <row r="7" spans="2:22" ht="14.65" thickBot="1" x14ac:dyDescent="0.5">
      <c r="B7" s="2">
        <v>128</v>
      </c>
      <c r="C7" s="2">
        <v>144</v>
      </c>
      <c r="D7" s="2">
        <v>133</v>
      </c>
      <c r="E7" s="2">
        <v>150</v>
      </c>
      <c r="G7" s="2">
        <v>1</v>
      </c>
      <c r="H7" s="2">
        <v>0</v>
      </c>
      <c r="I7" s="2">
        <v>0</v>
      </c>
      <c r="J7" s="2" t="s">
        <v>83</v>
      </c>
      <c r="K7" s="2"/>
      <c r="L7" s="2">
        <v>128</v>
      </c>
      <c r="M7" s="2">
        <v>1</v>
      </c>
      <c r="N7" s="2">
        <v>0</v>
      </c>
      <c r="O7" s="2">
        <v>0</v>
      </c>
    </row>
    <row r="8" spans="2:22" x14ac:dyDescent="0.45">
      <c r="B8" s="2">
        <v>137</v>
      </c>
      <c r="C8" s="2">
        <v>133</v>
      </c>
      <c r="D8" s="2">
        <v>143</v>
      </c>
      <c r="E8" s="2">
        <v>142</v>
      </c>
      <c r="G8" s="2">
        <v>0</v>
      </c>
      <c r="H8" s="2">
        <v>1</v>
      </c>
      <c r="I8" s="2">
        <v>0</v>
      </c>
      <c r="J8" s="2" t="s">
        <v>84</v>
      </c>
      <c r="K8" s="2"/>
      <c r="L8" s="2">
        <v>137</v>
      </c>
      <c r="M8" s="2">
        <v>1</v>
      </c>
      <c r="N8" s="2">
        <v>0</v>
      </c>
      <c r="O8" s="2">
        <v>0</v>
      </c>
      <c r="Q8" s="6" t="s">
        <v>36</v>
      </c>
      <c r="R8" s="6"/>
    </row>
    <row r="9" spans="2:22" x14ac:dyDescent="0.45">
      <c r="B9" s="2">
        <v>135</v>
      </c>
      <c r="C9" s="2">
        <v>142</v>
      </c>
      <c r="D9" s="2">
        <v>137</v>
      </c>
      <c r="E9" s="2">
        <v>135</v>
      </c>
      <c r="G9" s="2">
        <v>0</v>
      </c>
      <c r="H9" s="2">
        <v>0</v>
      </c>
      <c r="I9" s="2">
        <v>1</v>
      </c>
      <c r="J9" s="2" t="s">
        <v>85</v>
      </c>
      <c r="K9" s="2"/>
      <c r="L9" s="2">
        <v>135</v>
      </c>
      <c r="M9" s="2">
        <v>1</v>
      </c>
      <c r="N9" s="2">
        <v>0</v>
      </c>
      <c r="O9" s="2">
        <v>0</v>
      </c>
      <c r="Q9" t="s">
        <v>37</v>
      </c>
      <c r="R9">
        <v>0.5682396341336915</v>
      </c>
    </row>
    <row r="10" spans="2:22" x14ac:dyDescent="0.45">
      <c r="B10" s="2">
        <v>124</v>
      </c>
      <c r="C10" s="2">
        <v>146</v>
      </c>
      <c r="D10" s="2">
        <v>136</v>
      </c>
      <c r="E10" s="2">
        <v>140</v>
      </c>
      <c r="G10" s="2">
        <v>0</v>
      </c>
      <c r="H10" s="2">
        <v>0</v>
      </c>
      <c r="I10" s="2">
        <v>0</v>
      </c>
      <c r="J10" s="2" t="s">
        <v>86</v>
      </c>
      <c r="K10" s="2"/>
      <c r="L10" s="2">
        <v>124</v>
      </c>
      <c r="M10" s="2">
        <v>1</v>
      </c>
      <c r="N10" s="2">
        <v>0</v>
      </c>
      <c r="O10" s="2">
        <v>0</v>
      </c>
      <c r="Q10" t="s">
        <v>38</v>
      </c>
      <c r="R10">
        <v>0.32289628180039159</v>
      </c>
    </row>
    <row r="11" spans="2:22" x14ac:dyDescent="0.45">
      <c r="B11" s="2">
        <v>141</v>
      </c>
      <c r="C11" s="2">
        <v>130</v>
      </c>
      <c r="D11" s="2">
        <v>131</v>
      </c>
      <c r="E11" s="2">
        <v>153</v>
      </c>
      <c r="L11" s="2">
        <v>141</v>
      </c>
      <c r="M11" s="2">
        <v>1</v>
      </c>
      <c r="N11" s="2">
        <v>0</v>
      </c>
      <c r="O11" s="2">
        <v>0</v>
      </c>
      <c r="Q11" t="s">
        <v>39</v>
      </c>
      <c r="R11">
        <v>0.19593933463796503</v>
      </c>
    </row>
    <row r="12" spans="2:22" x14ac:dyDescent="0.45">
      <c r="L12" s="2">
        <v>144</v>
      </c>
      <c r="M12" s="2">
        <v>0</v>
      </c>
      <c r="N12" s="2">
        <v>1</v>
      </c>
      <c r="O12" s="2">
        <v>0</v>
      </c>
      <c r="Q12" t="s">
        <v>40</v>
      </c>
      <c r="R12">
        <v>6.5764732189829518</v>
      </c>
    </row>
    <row r="13" spans="2:22" ht="14.65" thickBot="1" x14ac:dyDescent="0.5">
      <c r="L13" s="2">
        <v>133</v>
      </c>
      <c r="M13" s="2">
        <v>0</v>
      </c>
      <c r="N13" s="2">
        <v>1</v>
      </c>
      <c r="O13" s="2">
        <v>0</v>
      </c>
      <c r="Q13" s="4" t="s">
        <v>41</v>
      </c>
      <c r="R13" s="4">
        <v>20</v>
      </c>
    </row>
    <row r="14" spans="2:22" x14ac:dyDescent="0.45">
      <c r="L14" s="2">
        <v>142</v>
      </c>
      <c r="M14" s="2">
        <v>0</v>
      </c>
      <c r="N14" s="2">
        <v>1</v>
      </c>
      <c r="O14" s="2">
        <v>0</v>
      </c>
    </row>
    <row r="15" spans="2:22" ht="14.65" thickBot="1" x14ac:dyDescent="0.5">
      <c r="L15" s="2">
        <v>146</v>
      </c>
      <c r="M15" s="2">
        <v>0</v>
      </c>
      <c r="N15" s="2">
        <v>1</v>
      </c>
      <c r="O15" s="2">
        <v>0</v>
      </c>
      <c r="Q15" t="s">
        <v>42</v>
      </c>
    </row>
    <row r="16" spans="2:22" x14ac:dyDescent="0.45">
      <c r="L16" s="2">
        <v>130</v>
      </c>
      <c r="M16" s="2">
        <v>0</v>
      </c>
      <c r="N16" s="2">
        <v>1</v>
      </c>
      <c r="O16" s="2">
        <v>0</v>
      </c>
      <c r="Q16" s="5"/>
      <c r="R16" s="5" t="s">
        <v>47</v>
      </c>
      <c r="S16" s="5" t="s">
        <v>48</v>
      </c>
      <c r="T16" s="5" t="s">
        <v>49</v>
      </c>
      <c r="U16" s="5" t="s">
        <v>50</v>
      </c>
      <c r="V16" s="5" t="s">
        <v>51</v>
      </c>
    </row>
    <row r="17" spans="12:25" x14ac:dyDescent="0.45">
      <c r="L17" s="2">
        <v>133</v>
      </c>
      <c r="M17" s="2">
        <v>0</v>
      </c>
      <c r="N17" s="2">
        <v>0</v>
      </c>
      <c r="O17" s="2">
        <v>1</v>
      </c>
      <c r="Q17" t="s">
        <v>43</v>
      </c>
      <c r="R17">
        <v>3</v>
      </c>
      <c r="S17">
        <v>330.00000000000023</v>
      </c>
      <c r="T17">
        <v>110.00000000000007</v>
      </c>
      <c r="U17">
        <v>2.5433526011560716</v>
      </c>
      <c r="V17" s="8">
        <v>9.27642744821955E-2</v>
      </c>
    </row>
    <row r="18" spans="12:25" x14ac:dyDescent="0.45">
      <c r="L18" s="2">
        <v>143</v>
      </c>
      <c r="M18" s="2">
        <v>0</v>
      </c>
      <c r="N18" s="2">
        <v>0</v>
      </c>
      <c r="O18" s="2">
        <v>1</v>
      </c>
      <c r="Q18" t="s">
        <v>44</v>
      </c>
      <c r="R18">
        <v>16</v>
      </c>
      <c r="S18">
        <v>691.99999999999977</v>
      </c>
      <c r="T18">
        <v>43.249999999999986</v>
      </c>
    </row>
    <row r="19" spans="12:25" ht="14.65" thickBot="1" x14ac:dyDescent="0.5">
      <c r="L19" s="2">
        <v>137</v>
      </c>
      <c r="M19" s="2">
        <v>0</v>
      </c>
      <c r="N19" s="2">
        <v>0</v>
      </c>
      <c r="O19" s="2">
        <v>1</v>
      </c>
      <c r="Q19" s="4" t="s">
        <v>45</v>
      </c>
      <c r="R19" s="4">
        <v>19</v>
      </c>
      <c r="S19" s="4">
        <v>1022</v>
      </c>
      <c r="T19" s="4"/>
      <c r="U19" s="4"/>
      <c r="V19" s="4"/>
    </row>
    <row r="20" spans="12:25" ht="14.65" thickBot="1" x14ac:dyDescent="0.5">
      <c r="L20" s="2">
        <v>136</v>
      </c>
      <c r="M20" s="2">
        <v>0</v>
      </c>
      <c r="N20" s="2">
        <v>0</v>
      </c>
      <c r="O20" s="2">
        <v>1</v>
      </c>
    </row>
    <row r="21" spans="12:25" x14ac:dyDescent="0.45">
      <c r="L21" s="2">
        <v>131</v>
      </c>
      <c r="M21" s="2">
        <v>0</v>
      </c>
      <c r="N21" s="2">
        <v>0</v>
      </c>
      <c r="O21" s="2">
        <v>1</v>
      </c>
      <c r="Q21" s="5"/>
      <c r="R21" s="5" t="s">
        <v>52</v>
      </c>
      <c r="S21" s="5" t="s">
        <v>40</v>
      </c>
      <c r="T21" s="5" t="s">
        <v>53</v>
      </c>
      <c r="U21" s="5" t="s">
        <v>54</v>
      </c>
      <c r="V21" s="5" t="s">
        <v>55</v>
      </c>
      <c r="W21" s="5" t="s">
        <v>56</v>
      </c>
      <c r="X21" s="5" t="s">
        <v>57</v>
      </c>
      <c r="Y21" s="5" t="s">
        <v>58</v>
      </c>
    </row>
    <row r="22" spans="12:25" x14ac:dyDescent="0.45">
      <c r="L22" s="2">
        <v>150</v>
      </c>
      <c r="M22" s="2">
        <v>0</v>
      </c>
      <c r="N22" s="2">
        <v>0</v>
      </c>
      <c r="O22" s="2">
        <v>0</v>
      </c>
      <c r="Q22" t="s">
        <v>46</v>
      </c>
      <c r="R22">
        <v>144</v>
      </c>
      <c r="S22">
        <v>2.9410882339705484</v>
      </c>
      <c r="T22">
        <v>48.96146886609931</v>
      </c>
      <c r="U22">
        <v>7.3545978574325339E-19</v>
      </c>
      <c r="V22">
        <v>137.76517146732854</v>
      </c>
      <c r="W22">
        <v>150.23482853267146</v>
      </c>
      <c r="X22">
        <v>137.76517146732854</v>
      </c>
      <c r="Y22">
        <v>150.23482853267146</v>
      </c>
    </row>
    <row r="23" spans="12:25" x14ac:dyDescent="0.45">
      <c r="L23" s="2">
        <v>142</v>
      </c>
      <c r="M23" s="2">
        <v>0</v>
      </c>
      <c r="N23" s="2">
        <v>0</v>
      </c>
      <c r="O23" s="2">
        <v>0</v>
      </c>
      <c r="Q23" t="s">
        <v>79</v>
      </c>
      <c r="R23">
        <v>-11.000000000000005</v>
      </c>
      <c r="S23">
        <v>4.1593268686170859</v>
      </c>
      <c r="T23">
        <v>-2.6446587025888979</v>
      </c>
      <c r="U23">
        <v>1.7660529337769338E-2</v>
      </c>
      <c r="V23">
        <v>-19.817379069974713</v>
      </c>
      <c r="W23">
        <v>-2.1826209300252959</v>
      </c>
      <c r="X23">
        <v>-19.817379069974713</v>
      </c>
      <c r="Y23">
        <v>-2.1826209300252959</v>
      </c>
    </row>
    <row r="24" spans="12:25" x14ac:dyDescent="0.45">
      <c r="L24" s="2">
        <v>135</v>
      </c>
      <c r="M24" s="2">
        <v>0</v>
      </c>
      <c r="N24" s="2">
        <v>0</v>
      </c>
      <c r="O24" s="2">
        <v>0</v>
      </c>
      <c r="Q24" t="s">
        <v>80</v>
      </c>
      <c r="R24">
        <v>-4.9999999999999973</v>
      </c>
      <c r="S24">
        <v>4.1593268686170832</v>
      </c>
      <c r="T24">
        <v>-1.2021175920858622</v>
      </c>
      <c r="U24">
        <v>0.24680817470905833</v>
      </c>
      <c r="V24">
        <v>-13.817379069974702</v>
      </c>
      <c r="W24">
        <v>3.8173790699747068</v>
      </c>
      <c r="X24">
        <v>-13.817379069974702</v>
      </c>
      <c r="Y24">
        <v>3.8173790699747068</v>
      </c>
    </row>
    <row r="25" spans="12:25" ht="14.65" thickBot="1" x14ac:dyDescent="0.5">
      <c r="L25" s="2">
        <v>140</v>
      </c>
      <c r="M25" s="2">
        <v>0</v>
      </c>
      <c r="N25" s="2">
        <v>0</v>
      </c>
      <c r="O25" s="2">
        <v>0</v>
      </c>
      <c r="Q25" s="4" t="s">
        <v>81</v>
      </c>
      <c r="R25" s="4">
        <v>-8</v>
      </c>
      <c r="S25" s="4">
        <v>4.1593268686170832</v>
      </c>
      <c r="T25" s="4">
        <v>-1.9233881473373806</v>
      </c>
      <c r="U25" s="4">
        <v>7.2412046581409983E-2</v>
      </c>
      <c r="V25" s="4">
        <v>-16.817379069974706</v>
      </c>
      <c r="W25" s="4">
        <v>0.81737906997470411</v>
      </c>
      <c r="X25" s="4">
        <v>-16.817379069974706</v>
      </c>
      <c r="Y25" s="4">
        <v>0.81737906997470411</v>
      </c>
    </row>
    <row r="26" spans="12:25" x14ac:dyDescent="0.45">
      <c r="L26" s="2">
        <v>153</v>
      </c>
      <c r="M26" s="2">
        <v>0</v>
      </c>
      <c r="N26" s="2">
        <v>0</v>
      </c>
      <c r="O26" s="2">
        <v>0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A8315-0D63-49A2-9554-7BC2DECE0A96}">
  <dimension ref="B2:AD50"/>
  <sheetViews>
    <sheetView tabSelected="1" zoomScale="115" zoomScaleNormal="115" workbookViewId="0">
      <selection activeCell="O30" sqref="B2:O30"/>
    </sheetView>
  </sheetViews>
  <sheetFormatPr defaultRowHeight="14.25" x14ac:dyDescent="0.45"/>
  <cols>
    <col min="2" max="15" width="10.53125" customWidth="1"/>
    <col min="16" max="20" width="11.19921875" customWidth="1"/>
  </cols>
  <sheetData>
    <row r="2" spans="2:30" x14ac:dyDescent="0.45">
      <c r="B2" s="15" t="s">
        <v>88</v>
      </c>
      <c r="C2" s="16" t="s">
        <v>90</v>
      </c>
      <c r="D2" s="16" t="s">
        <v>91</v>
      </c>
      <c r="E2" s="16" t="s">
        <v>92</v>
      </c>
      <c r="F2" s="16" t="s">
        <v>94</v>
      </c>
      <c r="G2" s="15" t="s">
        <v>89</v>
      </c>
      <c r="H2" s="15" t="s">
        <v>93</v>
      </c>
      <c r="I2" s="15" t="s">
        <v>95</v>
      </c>
      <c r="J2" s="15" t="s">
        <v>3</v>
      </c>
      <c r="K2" s="21" t="s">
        <v>96</v>
      </c>
      <c r="L2" s="21" t="s">
        <v>97</v>
      </c>
      <c r="M2" s="21" t="s">
        <v>98</v>
      </c>
      <c r="N2" s="31" t="s">
        <v>99</v>
      </c>
      <c r="O2" s="21" t="s">
        <v>100</v>
      </c>
      <c r="P2" s="14"/>
    </row>
    <row r="3" spans="2:30" x14ac:dyDescent="0.45">
      <c r="B3" s="12">
        <v>3669.88</v>
      </c>
      <c r="C3" s="12">
        <v>74065.100000000006</v>
      </c>
      <c r="D3" s="12">
        <v>4582.8999999999996</v>
      </c>
      <c r="E3" s="12">
        <v>2.5099999999999998</v>
      </c>
      <c r="F3" s="12">
        <v>74.86</v>
      </c>
      <c r="G3" s="12">
        <v>43.1</v>
      </c>
      <c r="H3" s="12">
        <v>0.34</v>
      </c>
      <c r="I3" s="12">
        <v>15.05</v>
      </c>
      <c r="J3" s="12">
        <v>4.9000000000000004</v>
      </c>
      <c r="K3" s="22">
        <f>$C$46+$C$47*C3+$C$48*D3+$C$49*E3+$C$50*F3</f>
        <v>3357.6264312575281</v>
      </c>
      <c r="L3" s="22">
        <f>B3-K3</f>
        <v>312.253568742472</v>
      </c>
      <c r="M3" s="22">
        <f>L3^2</f>
        <v>97502.291192409684</v>
      </c>
      <c r="N3" s="32">
        <v>0</v>
      </c>
      <c r="O3" s="22">
        <v>0</v>
      </c>
      <c r="P3" s="14"/>
    </row>
    <row r="4" spans="2:30" x14ac:dyDescent="0.45">
      <c r="B4" s="12">
        <v>3473.95</v>
      </c>
      <c r="C4" s="12">
        <v>58117.3</v>
      </c>
      <c r="D4" s="12">
        <v>5539.8</v>
      </c>
      <c r="E4" s="12">
        <v>5.51</v>
      </c>
      <c r="F4" s="12">
        <v>107.32</v>
      </c>
      <c r="G4" s="12">
        <v>108.13</v>
      </c>
      <c r="H4" s="12">
        <v>0.15</v>
      </c>
      <c r="I4" s="12">
        <v>19.97</v>
      </c>
      <c r="J4" s="12">
        <v>5.0999999999999996</v>
      </c>
      <c r="K4" s="22">
        <f t="shared" ref="K4:K27" si="0">$C$46+$C$47*C4+$C$48*D4+$C$49*E4+$C$50*F4</f>
        <v>3785.1066027593056</v>
      </c>
      <c r="L4" s="22">
        <f t="shared" ref="L4:L27" si="1">B4-K4</f>
        <v>-311.15660275930577</v>
      </c>
      <c r="M4" s="22">
        <f t="shared" ref="M4:M27" si="2">L4^2</f>
        <v>96818.431440712404</v>
      </c>
      <c r="N4" s="32">
        <f>L4-L3</f>
        <v>-623.41017150177777</v>
      </c>
      <c r="O4" s="22">
        <f>N4^2</f>
        <v>388640.24193187599</v>
      </c>
      <c r="P4" s="14"/>
    </row>
    <row r="5" spans="2:30" x14ac:dyDescent="0.45">
      <c r="B5" s="12">
        <v>2295.1</v>
      </c>
      <c r="C5" s="12">
        <v>21118.5</v>
      </c>
      <c r="D5" s="12">
        <v>2950.4</v>
      </c>
      <c r="E5" s="12">
        <v>10.91</v>
      </c>
      <c r="F5" s="12">
        <v>96.75</v>
      </c>
      <c r="G5" s="12">
        <v>13.82</v>
      </c>
      <c r="H5" s="12">
        <v>-0.72</v>
      </c>
      <c r="I5" s="12">
        <v>17.34</v>
      </c>
      <c r="J5" s="12">
        <v>2.9</v>
      </c>
      <c r="K5" s="22">
        <f t="shared" si="0"/>
        <v>2847.374320392255</v>
      </c>
      <c r="L5" s="22">
        <f t="shared" si="1"/>
        <v>-552.27432039225505</v>
      </c>
      <c r="M5" s="22">
        <f t="shared" si="2"/>
        <v>305006.92496472719</v>
      </c>
      <c r="N5" s="32">
        <f t="shared" ref="N5:N27" si="3">L5-L4</f>
        <v>-241.11771763294928</v>
      </c>
      <c r="O5" s="22">
        <f t="shared" ref="O5:O27" si="4">N5^2</f>
        <v>58137.753756522659</v>
      </c>
      <c r="P5" s="14"/>
    </row>
    <row r="6" spans="2:30" x14ac:dyDescent="0.45">
      <c r="B6" s="12">
        <v>4675.5600000000004</v>
      </c>
      <c r="C6" s="12">
        <v>68521.3</v>
      </c>
      <c r="D6" s="12">
        <v>2243.1</v>
      </c>
      <c r="E6" s="12">
        <v>8.27</v>
      </c>
      <c r="F6" s="12">
        <v>195.12</v>
      </c>
      <c r="G6" s="12">
        <v>186.18</v>
      </c>
      <c r="H6" s="12">
        <v>0.17</v>
      </c>
      <c r="I6" s="12">
        <v>13.4</v>
      </c>
      <c r="J6" s="12">
        <v>3.4</v>
      </c>
      <c r="K6" s="22">
        <f t="shared" si="0"/>
        <v>4939.6113179937174</v>
      </c>
      <c r="L6" s="22">
        <f t="shared" si="1"/>
        <v>-264.05131799371702</v>
      </c>
      <c r="M6" s="22">
        <f t="shared" si="2"/>
        <v>69723.098534219069</v>
      </c>
      <c r="N6" s="32">
        <f t="shared" si="3"/>
        <v>288.22300239853803</v>
      </c>
      <c r="O6" s="22">
        <f t="shared" si="4"/>
        <v>83072.499111627665</v>
      </c>
      <c r="P6" s="14"/>
    </row>
    <row r="7" spans="2:30" x14ac:dyDescent="0.45">
      <c r="B7" s="12">
        <v>6125.96</v>
      </c>
      <c r="C7" s="12">
        <v>57805.1</v>
      </c>
      <c r="D7" s="12">
        <v>7747.1</v>
      </c>
      <c r="E7" s="12">
        <v>9.15</v>
      </c>
      <c r="F7" s="12">
        <v>180.44</v>
      </c>
      <c r="G7" s="12">
        <v>161.79</v>
      </c>
      <c r="H7" s="12">
        <v>0.5</v>
      </c>
      <c r="I7" s="12">
        <v>17.64</v>
      </c>
      <c r="J7" s="12">
        <v>4.5999999999999996</v>
      </c>
      <c r="K7" s="22">
        <f t="shared" si="0"/>
        <v>5525.2777941845543</v>
      </c>
      <c r="L7" s="22">
        <f t="shared" si="1"/>
        <v>600.68220581544574</v>
      </c>
      <c r="M7" s="22">
        <f t="shared" si="2"/>
        <v>360819.11238330952</v>
      </c>
      <c r="N7" s="32">
        <f t="shared" si="3"/>
        <v>864.73352380916276</v>
      </c>
      <c r="O7" s="22">
        <f t="shared" si="4"/>
        <v>747764.06719941192</v>
      </c>
      <c r="P7" s="14"/>
    </row>
    <row r="8" spans="2:30" ht="17.649999999999999" x14ac:dyDescent="0.45">
      <c r="B8" s="12">
        <v>2134.94</v>
      </c>
      <c r="C8" s="12">
        <v>37806.9</v>
      </c>
      <c r="D8" s="12">
        <v>402.4</v>
      </c>
      <c r="E8" s="12">
        <v>5.51</v>
      </c>
      <c r="F8" s="12">
        <v>104.88</v>
      </c>
      <c r="G8" s="12">
        <v>8.94</v>
      </c>
      <c r="H8" s="12">
        <v>0.15</v>
      </c>
      <c r="I8" s="12">
        <v>16.22</v>
      </c>
      <c r="J8" s="12">
        <v>4.5</v>
      </c>
      <c r="K8" s="22">
        <f t="shared" si="0"/>
        <v>2087.4181824085831</v>
      </c>
      <c r="L8" s="22">
        <f t="shared" si="1"/>
        <v>47.521817591416948</v>
      </c>
      <c r="M8" s="22">
        <f t="shared" si="2"/>
        <v>2258.3231471919053</v>
      </c>
      <c r="N8" s="32">
        <f t="shared" si="3"/>
        <v>-553.16038822402879</v>
      </c>
      <c r="O8" s="22">
        <f t="shared" si="4"/>
        <v>305986.41510015825</v>
      </c>
      <c r="P8" s="14"/>
      <c r="T8" s="24"/>
      <c r="AD8" s="11"/>
    </row>
    <row r="9" spans="2:30" x14ac:dyDescent="0.45">
      <c r="B9" s="12">
        <v>5031.66</v>
      </c>
      <c r="C9" s="12">
        <v>50935.3</v>
      </c>
      <c r="D9" s="12">
        <v>3140.6</v>
      </c>
      <c r="E9" s="12">
        <v>8.5399999999999991</v>
      </c>
      <c r="F9" s="12">
        <v>256.10000000000002</v>
      </c>
      <c r="G9" s="12">
        <v>365.04</v>
      </c>
      <c r="H9" s="12">
        <v>0.55000000000000004</v>
      </c>
      <c r="I9" s="12">
        <v>18.8</v>
      </c>
      <c r="J9" s="12">
        <v>4.5999999999999996</v>
      </c>
      <c r="K9" s="22">
        <f t="shared" si="0"/>
        <v>5037.7766508086679</v>
      </c>
      <c r="L9" s="22">
        <f t="shared" si="1"/>
        <v>-6.1166508086680551</v>
      </c>
      <c r="M9" s="22">
        <f t="shared" si="2"/>
        <v>37.41341711517957</v>
      </c>
      <c r="N9" s="32">
        <f t="shared" si="3"/>
        <v>-53.638468400085003</v>
      </c>
      <c r="O9" s="22">
        <f t="shared" si="4"/>
        <v>2877.0852923069174</v>
      </c>
      <c r="P9" s="14"/>
      <c r="AD9" s="25"/>
    </row>
    <row r="10" spans="2:30" x14ac:dyDescent="0.45">
      <c r="B10" s="12">
        <v>3367.45</v>
      </c>
      <c r="C10" s="12">
        <v>35602.1</v>
      </c>
      <c r="D10" s="12">
        <v>2086.1999999999998</v>
      </c>
      <c r="E10" s="12">
        <v>7.07</v>
      </c>
      <c r="F10" s="12">
        <v>126.83</v>
      </c>
      <c r="G10" s="12">
        <v>220.32</v>
      </c>
      <c r="H10" s="12">
        <v>-0.49</v>
      </c>
      <c r="I10" s="12">
        <v>19.86</v>
      </c>
      <c r="J10" s="12">
        <v>2.2999999999999998</v>
      </c>
      <c r="K10" s="22">
        <f t="shared" si="0"/>
        <v>2796.6753189496894</v>
      </c>
      <c r="L10" s="22">
        <f t="shared" si="1"/>
        <v>570.77468105031039</v>
      </c>
      <c r="M10" s="22">
        <f t="shared" si="2"/>
        <v>325783.73652808357</v>
      </c>
      <c r="N10" s="32">
        <f t="shared" si="3"/>
        <v>576.89133185897845</v>
      </c>
      <c r="O10" s="22">
        <f t="shared" si="4"/>
        <v>332803.60877402598</v>
      </c>
      <c r="P10" s="14"/>
      <c r="AD10" s="25"/>
    </row>
    <row r="11" spans="2:30" x14ac:dyDescent="0.45">
      <c r="B11" s="12">
        <v>6519.45</v>
      </c>
      <c r="C11" s="12">
        <v>46176.800000000003</v>
      </c>
      <c r="D11" s="12">
        <v>8846.2000000000007</v>
      </c>
      <c r="E11" s="12">
        <v>12.54</v>
      </c>
      <c r="F11" s="12">
        <v>203.25</v>
      </c>
      <c r="G11" s="12">
        <v>127.64</v>
      </c>
      <c r="H11" s="12">
        <v>1.24</v>
      </c>
      <c r="I11" s="12">
        <v>17.420000000000002</v>
      </c>
      <c r="J11" s="12">
        <v>4.9000000000000004</v>
      </c>
      <c r="K11" s="22">
        <f t="shared" si="0"/>
        <v>6127.9637755515714</v>
      </c>
      <c r="L11" s="22">
        <f t="shared" si="1"/>
        <v>391.4862244484284</v>
      </c>
      <c r="M11" s="22">
        <f t="shared" si="2"/>
        <v>153261.46393288526</v>
      </c>
      <c r="N11" s="32">
        <f t="shared" si="3"/>
        <v>-179.28845660188199</v>
      </c>
      <c r="O11" s="22">
        <f t="shared" si="4"/>
        <v>32144.350670684922</v>
      </c>
      <c r="P11" s="14"/>
      <c r="T11" s="25"/>
      <c r="AD11" s="25"/>
    </row>
    <row r="12" spans="2:30" x14ac:dyDescent="0.45">
      <c r="B12" s="12">
        <v>4876.37</v>
      </c>
      <c r="C12" s="12">
        <v>42053.2</v>
      </c>
      <c r="D12" s="12">
        <v>5673.1</v>
      </c>
      <c r="E12" s="12">
        <v>8.85</v>
      </c>
      <c r="F12" s="12">
        <v>119.51</v>
      </c>
      <c r="G12" s="12">
        <v>105.69</v>
      </c>
      <c r="H12" s="12">
        <v>0.31</v>
      </c>
      <c r="I12" s="12">
        <v>21.41</v>
      </c>
      <c r="J12" s="12">
        <v>2.8</v>
      </c>
      <c r="K12" s="22">
        <f t="shared" si="0"/>
        <v>3941.902992777294</v>
      </c>
      <c r="L12" s="22">
        <f t="shared" si="1"/>
        <v>934.46700722270589</v>
      </c>
      <c r="M12" s="22">
        <f t="shared" si="2"/>
        <v>873228.58758776064</v>
      </c>
      <c r="N12" s="32">
        <f t="shared" si="3"/>
        <v>542.98078277427749</v>
      </c>
      <c r="O12" s="22">
        <f t="shared" si="4"/>
        <v>294828.13046216709</v>
      </c>
      <c r="P12" s="14"/>
      <c r="T12" s="26"/>
    </row>
    <row r="13" spans="2:30" x14ac:dyDescent="0.45">
      <c r="B13" s="12">
        <v>2468.27</v>
      </c>
      <c r="C13" s="12">
        <v>36829.699999999997</v>
      </c>
      <c r="D13" s="12">
        <v>2761.8</v>
      </c>
      <c r="E13" s="12">
        <v>5.38</v>
      </c>
      <c r="F13" s="12">
        <v>116.26</v>
      </c>
      <c r="G13" s="12">
        <v>57.72</v>
      </c>
      <c r="H13" s="12">
        <v>0.37</v>
      </c>
      <c r="I13" s="12">
        <v>16.32</v>
      </c>
      <c r="J13" s="12">
        <v>3.1</v>
      </c>
      <c r="K13" s="22">
        <f t="shared" si="0"/>
        <v>2543.0795914403188</v>
      </c>
      <c r="L13" s="22">
        <f t="shared" si="1"/>
        <v>-74.809591440318854</v>
      </c>
      <c r="M13" s="22">
        <f t="shared" si="2"/>
        <v>5596.4749714674281</v>
      </c>
      <c r="N13" s="32">
        <f t="shared" si="3"/>
        <v>-1009.2765986630247</v>
      </c>
      <c r="O13" s="22">
        <f t="shared" si="4"/>
        <v>1018639.2526088043</v>
      </c>
      <c r="P13" s="14"/>
    </row>
    <row r="14" spans="2:30" x14ac:dyDescent="0.45">
      <c r="B14" s="12">
        <v>2533.31</v>
      </c>
      <c r="C14" s="12">
        <v>33612.699999999997</v>
      </c>
      <c r="D14" s="12">
        <v>1991.8</v>
      </c>
      <c r="E14" s="12">
        <v>5.43</v>
      </c>
      <c r="F14" s="12">
        <v>142.28</v>
      </c>
      <c r="G14" s="12">
        <v>23.58</v>
      </c>
      <c r="H14" s="12">
        <v>-0.65</v>
      </c>
      <c r="I14" s="12">
        <v>14.51</v>
      </c>
      <c r="J14" s="12">
        <v>4.2</v>
      </c>
      <c r="K14" s="22">
        <f t="shared" si="0"/>
        <v>2534.6450552784045</v>
      </c>
      <c r="L14" s="22">
        <f t="shared" si="1"/>
        <v>-1.3350552784045249</v>
      </c>
      <c r="M14" s="22">
        <f t="shared" si="2"/>
        <v>1.7823725963957835</v>
      </c>
      <c r="N14" s="32">
        <f t="shared" si="3"/>
        <v>73.47453616191433</v>
      </c>
      <c r="O14" s="22">
        <f t="shared" si="4"/>
        <v>5398.5074642084564</v>
      </c>
      <c r="P14" s="14"/>
    </row>
    <row r="15" spans="2:30" x14ac:dyDescent="0.45">
      <c r="B15" s="12">
        <v>2408.11</v>
      </c>
      <c r="C15" s="12">
        <v>21412.799999999999</v>
      </c>
      <c r="D15" s="12">
        <v>1971.5</v>
      </c>
      <c r="E15" s="12">
        <v>8.48</v>
      </c>
      <c r="F15" s="12">
        <v>89.43</v>
      </c>
      <c r="G15" s="12">
        <v>13.82</v>
      </c>
      <c r="H15" s="12">
        <v>0.64</v>
      </c>
      <c r="I15" s="12">
        <v>19.350000000000001</v>
      </c>
      <c r="J15" s="12">
        <v>4.3</v>
      </c>
      <c r="K15" s="22">
        <f t="shared" si="0"/>
        <v>2157.8275367886804</v>
      </c>
      <c r="L15" s="22">
        <f t="shared" si="1"/>
        <v>250.28246321131974</v>
      </c>
      <c r="M15" s="22">
        <f t="shared" si="2"/>
        <v>62641.311391125615</v>
      </c>
      <c r="N15" s="32">
        <f t="shared" si="3"/>
        <v>251.61751848972426</v>
      </c>
      <c r="O15" s="22">
        <f t="shared" si="4"/>
        <v>63311.375610926734</v>
      </c>
      <c r="P15" s="14"/>
      <c r="T15" s="25"/>
    </row>
    <row r="16" spans="2:30" x14ac:dyDescent="0.45">
      <c r="B16" s="12">
        <v>2337.38</v>
      </c>
      <c r="C16" s="12">
        <v>20416.900000000001</v>
      </c>
      <c r="D16" s="12">
        <v>1737.4</v>
      </c>
      <c r="E16" s="12">
        <v>7.8</v>
      </c>
      <c r="F16" s="12">
        <v>84.55</v>
      </c>
      <c r="G16" s="12">
        <v>13.82</v>
      </c>
      <c r="H16" s="12">
        <v>1.01</v>
      </c>
      <c r="I16" s="12">
        <v>20.02</v>
      </c>
      <c r="J16" s="12">
        <v>4.2</v>
      </c>
      <c r="K16" s="22">
        <f t="shared" si="0"/>
        <v>1904.5395748800383</v>
      </c>
      <c r="L16" s="22">
        <f t="shared" si="1"/>
        <v>432.84042511996176</v>
      </c>
      <c r="M16" s="22">
        <f t="shared" si="2"/>
        <v>187350.83361802922</v>
      </c>
      <c r="N16" s="32">
        <f t="shared" si="3"/>
        <v>182.55796190864203</v>
      </c>
      <c r="O16" s="22">
        <f t="shared" si="4"/>
        <v>33327.40945623719</v>
      </c>
      <c r="P16" s="14"/>
      <c r="T16" s="25"/>
    </row>
    <row r="17" spans="2:20" x14ac:dyDescent="0.45">
      <c r="B17" s="12">
        <v>4586.95</v>
      </c>
      <c r="C17" s="12">
        <v>36272</v>
      </c>
      <c r="D17" s="12">
        <v>10694.2</v>
      </c>
      <c r="E17" s="12">
        <v>10.34</v>
      </c>
      <c r="F17" s="12">
        <v>119.51</v>
      </c>
      <c r="G17" s="12">
        <v>86.99</v>
      </c>
      <c r="H17" s="12">
        <v>0.11</v>
      </c>
      <c r="I17" s="12">
        <v>15.26</v>
      </c>
      <c r="J17" s="12">
        <v>5.5</v>
      </c>
      <c r="K17" s="22">
        <f t="shared" si="0"/>
        <v>4882.9182226824742</v>
      </c>
      <c r="L17" s="22">
        <f t="shared" si="1"/>
        <v>-295.96822268247433</v>
      </c>
      <c r="M17" s="22">
        <f t="shared" si="2"/>
        <v>87597.188837822716</v>
      </c>
      <c r="N17" s="32">
        <f t="shared" si="3"/>
        <v>-728.8086478024361</v>
      </c>
      <c r="O17" s="22">
        <f t="shared" si="4"/>
        <v>531162.04511161533</v>
      </c>
      <c r="P17" s="14"/>
      <c r="T17" s="25"/>
    </row>
    <row r="18" spans="2:20" x14ac:dyDescent="0.45">
      <c r="B18" s="12">
        <v>2729.24</v>
      </c>
      <c r="C18" s="12">
        <v>23093.3</v>
      </c>
      <c r="D18" s="12">
        <v>8618.6</v>
      </c>
      <c r="E18" s="12">
        <v>5.15</v>
      </c>
      <c r="F18" s="12">
        <v>80.489999999999995</v>
      </c>
      <c r="G18" s="12">
        <v>165.85</v>
      </c>
      <c r="H18" s="12">
        <v>0.04</v>
      </c>
      <c r="I18" s="12">
        <v>15.87</v>
      </c>
      <c r="J18" s="12">
        <v>3.6</v>
      </c>
      <c r="K18" s="22">
        <f t="shared" si="0"/>
        <v>2669.6765476844275</v>
      </c>
      <c r="L18" s="22">
        <f t="shared" si="1"/>
        <v>59.563452315572249</v>
      </c>
      <c r="M18" s="22">
        <f t="shared" si="2"/>
        <v>3547.804851749449</v>
      </c>
      <c r="N18" s="32">
        <f t="shared" si="3"/>
        <v>355.53167499804658</v>
      </c>
      <c r="O18" s="22">
        <f t="shared" si="4"/>
        <v>126402.77192691663</v>
      </c>
      <c r="P18" s="14"/>
      <c r="T18" s="25"/>
    </row>
    <row r="19" spans="2:20" x14ac:dyDescent="0.45">
      <c r="B19" s="12">
        <v>3289.4</v>
      </c>
      <c r="C19" s="12">
        <v>26878.6</v>
      </c>
      <c r="D19" s="12">
        <v>7747.9</v>
      </c>
      <c r="E19" s="12">
        <v>6.64</v>
      </c>
      <c r="F19" s="12">
        <v>136.58000000000001</v>
      </c>
      <c r="G19" s="12">
        <v>116.26</v>
      </c>
      <c r="H19" s="12">
        <v>0.68</v>
      </c>
      <c r="I19" s="12">
        <v>7.81</v>
      </c>
      <c r="J19" s="12">
        <v>3.4</v>
      </c>
      <c r="K19" s="22">
        <f t="shared" si="0"/>
        <v>3462.1009136191315</v>
      </c>
      <c r="L19" s="22">
        <f t="shared" si="1"/>
        <v>-172.70091361913137</v>
      </c>
      <c r="M19" s="22">
        <f t="shared" si="2"/>
        <v>29825.605564882677</v>
      </c>
      <c r="N19" s="32">
        <f t="shared" si="3"/>
        <v>-232.26436593470362</v>
      </c>
      <c r="O19" s="22">
        <f t="shared" si="4"/>
        <v>53946.735683049912</v>
      </c>
      <c r="P19" s="14"/>
    </row>
    <row r="20" spans="2:20" x14ac:dyDescent="0.45">
      <c r="B20" s="12">
        <v>2800.78</v>
      </c>
      <c r="C20" s="12">
        <v>39572</v>
      </c>
      <c r="D20" s="12">
        <v>4565.8</v>
      </c>
      <c r="E20" s="12">
        <v>5.45</v>
      </c>
      <c r="F20" s="12">
        <v>78.86</v>
      </c>
      <c r="G20" s="12">
        <v>42.28</v>
      </c>
      <c r="H20" s="12">
        <v>0.66</v>
      </c>
      <c r="I20" s="12">
        <v>16</v>
      </c>
      <c r="J20" s="12">
        <v>4.2</v>
      </c>
      <c r="K20" s="22">
        <f t="shared" si="0"/>
        <v>2632.2750059242971</v>
      </c>
      <c r="L20" s="22">
        <f t="shared" si="1"/>
        <v>168.50499407570305</v>
      </c>
      <c r="M20" s="22">
        <f t="shared" si="2"/>
        <v>28393.93302845272</v>
      </c>
      <c r="N20" s="32">
        <f t="shared" si="3"/>
        <v>341.20590769483442</v>
      </c>
      <c r="O20" s="22">
        <f t="shared" si="4"/>
        <v>116421.47144585587</v>
      </c>
      <c r="P20" s="14"/>
    </row>
    <row r="21" spans="2:20" x14ac:dyDescent="0.45">
      <c r="B21" s="12">
        <v>3264.2</v>
      </c>
      <c r="C21" s="12">
        <v>51866.1</v>
      </c>
      <c r="D21" s="12">
        <v>6022.7</v>
      </c>
      <c r="E21" s="12">
        <v>6.31</v>
      </c>
      <c r="F21" s="12">
        <v>136.58000000000001</v>
      </c>
      <c r="G21" s="12">
        <v>52.84</v>
      </c>
      <c r="H21" s="12">
        <v>-0.1</v>
      </c>
      <c r="I21" s="12">
        <v>17.440000000000001</v>
      </c>
      <c r="J21" s="12">
        <v>3.6</v>
      </c>
      <c r="K21" s="22">
        <f t="shared" si="0"/>
        <v>4052.4190897239905</v>
      </c>
      <c r="L21" s="22">
        <f t="shared" si="1"/>
        <v>-788.21908972399069</v>
      </c>
      <c r="M21" s="22">
        <f t="shared" si="2"/>
        <v>621289.33340531646</v>
      </c>
      <c r="N21" s="32">
        <f t="shared" si="3"/>
        <v>-956.72408379969374</v>
      </c>
      <c r="O21" s="22">
        <f t="shared" si="4"/>
        <v>915320.97252236342</v>
      </c>
      <c r="P21" s="14"/>
    </row>
    <row r="22" spans="2:20" ht="17.649999999999999" x14ac:dyDescent="0.45">
      <c r="B22" s="12">
        <v>3453.62</v>
      </c>
      <c r="C22" s="12">
        <v>58749.8</v>
      </c>
      <c r="D22" s="12">
        <v>3721.1</v>
      </c>
      <c r="E22" s="12">
        <v>6.35</v>
      </c>
      <c r="F22" s="12">
        <v>138.21</v>
      </c>
      <c r="G22" s="12">
        <v>165.04</v>
      </c>
      <c r="H22" s="12">
        <v>-0.03</v>
      </c>
      <c r="I22" s="12">
        <v>17.98</v>
      </c>
      <c r="J22" s="12">
        <v>3.1</v>
      </c>
      <c r="K22" s="22">
        <f t="shared" si="0"/>
        <v>3935.3637005793357</v>
      </c>
      <c r="L22" s="22">
        <f t="shared" si="1"/>
        <v>-481.74370057933584</v>
      </c>
      <c r="M22" s="22">
        <f t="shared" si="2"/>
        <v>232076.99304787279</v>
      </c>
      <c r="N22" s="32">
        <f t="shared" si="3"/>
        <v>306.47538914465486</v>
      </c>
      <c r="O22" s="22">
        <f t="shared" si="4"/>
        <v>93927.16415136763</v>
      </c>
      <c r="P22" s="14"/>
      <c r="T22" s="24"/>
    </row>
    <row r="23" spans="2:20" x14ac:dyDescent="0.45">
      <c r="B23" s="12">
        <v>1741.45</v>
      </c>
      <c r="C23" s="12">
        <v>23990.799999999999</v>
      </c>
      <c r="D23" s="12">
        <v>861</v>
      </c>
      <c r="E23" s="12">
        <v>7.37</v>
      </c>
      <c r="F23" s="12">
        <v>75.61</v>
      </c>
      <c r="G23" s="12">
        <v>10.57</v>
      </c>
      <c r="H23" s="12">
        <v>-1.63</v>
      </c>
      <c r="I23" s="12">
        <v>20.99</v>
      </c>
      <c r="J23" s="12">
        <v>1.6</v>
      </c>
      <c r="K23" s="22">
        <f t="shared" si="0"/>
        <v>1723.6291002504302</v>
      </c>
      <c r="L23" s="22">
        <f t="shared" si="1"/>
        <v>17.82089974956989</v>
      </c>
      <c r="M23" s="22">
        <f t="shared" si="2"/>
        <v>317.58446788422015</v>
      </c>
      <c r="N23" s="32">
        <f t="shared" si="3"/>
        <v>499.56460032890573</v>
      </c>
      <c r="O23" s="22">
        <f t="shared" si="4"/>
        <v>249564.78990177932</v>
      </c>
      <c r="P23" s="14"/>
    </row>
    <row r="24" spans="2:20" x14ac:dyDescent="0.45">
      <c r="B24" s="12">
        <v>2035.75</v>
      </c>
      <c r="C24" s="12">
        <v>25694.9</v>
      </c>
      <c r="D24" s="12">
        <v>3571.5</v>
      </c>
      <c r="E24" s="12">
        <v>8.39</v>
      </c>
      <c r="F24" s="12">
        <v>102.44</v>
      </c>
      <c r="G24" s="12">
        <v>13.82</v>
      </c>
      <c r="H24" s="12">
        <v>-0.43</v>
      </c>
      <c r="I24" s="12">
        <v>21.66</v>
      </c>
      <c r="J24" s="12">
        <v>3.4</v>
      </c>
      <c r="K24" s="22">
        <f t="shared" si="0"/>
        <v>2704.2229612619508</v>
      </c>
      <c r="L24" s="22">
        <f t="shared" si="1"/>
        <v>-668.47296126195079</v>
      </c>
      <c r="M24" s="22">
        <f t="shared" si="2"/>
        <v>446856.09993832157</v>
      </c>
      <c r="N24" s="32">
        <f t="shared" si="3"/>
        <v>-686.29386101152068</v>
      </c>
      <c r="O24" s="22">
        <f t="shared" si="4"/>
        <v>470999.26366210048</v>
      </c>
      <c r="P24" s="14"/>
    </row>
    <row r="25" spans="2:20" x14ac:dyDescent="0.45">
      <c r="B25" s="12">
        <v>1578</v>
      </c>
      <c r="C25" s="12">
        <v>23736.3</v>
      </c>
      <c r="D25" s="12">
        <v>2845.5</v>
      </c>
      <c r="E25" s="12">
        <v>5.15</v>
      </c>
      <c r="F25" s="12">
        <v>76.42</v>
      </c>
      <c r="G25" s="12">
        <v>8.1300000000000008</v>
      </c>
      <c r="H25" s="12">
        <v>0.04</v>
      </c>
      <c r="I25" s="12">
        <v>21.46</v>
      </c>
      <c r="J25" s="12">
        <v>2.7</v>
      </c>
      <c r="K25" s="22">
        <f t="shared" si="0"/>
        <v>1646.5139294587977</v>
      </c>
      <c r="L25" s="22">
        <f t="shared" si="1"/>
        <v>-68.513929458797747</v>
      </c>
      <c r="M25" s="22">
        <f t="shared" si="2"/>
        <v>4694.1585298851141</v>
      </c>
      <c r="N25" s="32">
        <f t="shared" si="3"/>
        <v>599.95903180315304</v>
      </c>
      <c r="O25" s="22">
        <f t="shared" si="4"/>
        <v>359950.83984217682</v>
      </c>
      <c r="P25" s="14"/>
      <c r="T25" s="25"/>
    </row>
    <row r="26" spans="2:20" x14ac:dyDescent="0.45">
      <c r="B26" s="12">
        <v>4167.4399999999996</v>
      </c>
      <c r="C26" s="12">
        <v>34314.300000000003</v>
      </c>
      <c r="D26" s="12">
        <v>5060.1000000000004</v>
      </c>
      <c r="E26" s="12">
        <v>12.88</v>
      </c>
      <c r="F26" s="12">
        <v>136.58000000000001</v>
      </c>
      <c r="G26" s="12">
        <v>58.44</v>
      </c>
      <c r="H26" s="12">
        <v>0.22</v>
      </c>
      <c r="I26" s="12">
        <v>24.78</v>
      </c>
      <c r="J26" s="12">
        <v>2.8</v>
      </c>
      <c r="K26" s="22">
        <f t="shared" si="0"/>
        <v>4462.4356566017705</v>
      </c>
      <c r="L26" s="22">
        <f t="shared" si="1"/>
        <v>-294.99565660177086</v>
      </c>
      <c r="M26" s="22">
        <f t="shared" si="2"/>
        <v>87022.437413909909</v>
      </c>
      <c r="N26" s="32">
        <f t="shared" si="3"/>
        <v>-226.48172714297311</v>
      </c>
      <c r="O26" s="22">
        <f t="shared" si="4"/>
        <v>51293.972729664121</v>
      </c>
      <c r="P26" s="14"/>
      <c r="T26" s="26"/>
    </row>
    <row r="27" spans="2:20" x14ac:dyDescent="0.45">
      <c r="B27" s="12">
        <v>2799.97</v>
      </c>
      <c r="C27" s="12">
        <v>22809.5</v>
      </c>
      <c r="D27" s="12">
        <v>3552</v>
      </c>
      <c r="E27" s="12">
        <v>9.14</v>
      </c>
      <c r="F27" s="12">
        <v>88.62</v>
      </c>
      <c r="G27" s="12">
        <v>21.14</v>
      </c>
      <c r="H27" s="12">
        <v>-0.74</v>
      </c>
      <c r="I27" s="12">
        <v>24.96</v>
      </c>
      <c r="J27" s="12">
        <v>3.9</v>
      </c>
      <c r="K27" s="22">
        <f t="shared" si="0"/>
        <v>2605.8097267427634</v>
      </c>
      <c r="L27" s="22">
        <f t="shared" si="1"/>
        <v>194.16027325723644</v>
      </c>
      <c r="M27" s="22">
        <f t="shared" si="2"/>
        <v>37698.211711324722</v>
      </c>
      <c r="N27" s="32">
        <f t="shared" si="3"/>
        <v>489.1559298590073</v>
      </c>
      <c r="O27" s="22">
        <f t="shared" si="4"/>
        <v>239273.52371623006</v>
      </c>
      <c r="P27" s="14"/>
      <c r="T27" s="26"/>
    </row>
    <row r="28" spans="2:20" x14ac:dyDescent="0.45">
      <c r="Q28" s="13" t="s">
        <v>103</v>
      </c>
      <c r="T28" s="26"/>
    </row>
    <row r="29" spans="2:20" x14ac:dyDescent="0.45">
      <c r="M29" s="22">
        <f>SUM(M3:M27)</f>
        <v>4119349.136279054</v>
      </c>
      <c r="N29" s="2"/>
      <c r="O29" s="22">
        <f>SUM(O4:O27)</f>
        <v>6575194.248132077</v>
      </c>
      <c r="Q29" s="13">
        <f>O29/M29</f>
        <v>1.5961730920606916</v>
      </c>
    </row>
    <row r="30" spans="2:20" x14ac:dyDescent="0.45">
      <c r="B30" s="17" t="s">
        <v>35</v>
      </c>
      <c r="C30" s="17"/>
      <c r="D30" s="17"/>
      <c r="E30" s="17"/>
      <c r="F30" s="17"/>
      <c r="G30" s="17"/>
      <c r="H30" s="17"/>
      <c r="I30" s="17"/>
      <c r="J30" s="17"/>
      <c r="M30" s="23" t="s">
        <v>102</v>
      </c>
      <c r="N30" s="2"/>
      <c r="O30" s="23" t="s">
        <v>101</v>
      </c>
    </row>
    <row r="31" spans="2:20" ht="14.65" thickBot="1" x14ac:dyDescent="0.5">
      <c r="B31" s="17"/>
      <c r="C31" s="17"/>
      <c r="D31" s="17"/>
      <c r="E31" s="17"/>
      <c r="F31" s="17"/>
      <c r="G31" s="17"/>
      <c r="H31" s="17"/>
      <c r="I31" s="17"/>
      <c r="J31" s="17"/>
    </row>
    <row r="32" spans="2:20" x14ac:dyDescent="0.45">
      <c r="B32" s="18" t="s">
        <v>36</v>
      </c>
      <c r="C32" s="18"/>
      <c r="D32" s="17"/>
      <c r="E32" s="17"/>
      <c r="F32" s="17"/>
      <c r="G32" s="17"/>
      <c r="H32" s="17"/>
      <c r="I32" s="17"/>
      <c r="J32" s="17"/>
    </row>
    <row r="33" spans="2:10" x14ac:dyDescent="0.45">
      <c r="B33" s="17" t="s">
        <v>37</v>
      </c>
      <c r="C33" s="17">
        <v>0.94892024771351269</v>
      </c>
      <c r="D33" s="17"/>
      <c r="E33" s="17"/>
      <c r="F33" s="17"/>
      <c r="G33" s="17"/>
      <c r="H33" s="17"/>
      <c r="I33" s="17"/>
      <c r="J33" s="17"/>
    </row>
    <row r="34" spans="2:10" x14ac:dyDescent="0.45">
      <c r="B34" s="17" t="s">
        <v>38</v>
      </c>
      <c r="C34" s="17">
        <v>0.90044963652067433</v>
      </c>
      <c r="D34" s="17"/>
      <c r="E34" s="17"/>
      <c r="F34" s="17"/>
      <c r="G34" s="17"/>
      <c r="H34" s="17"/>
      <c r="I34" s="17"/>
      <c r="J34" s="17"/>
    </row>
    <row r="35" spans="2:10" x14ac:dyDescent="0.45">
      <c r="B35" s="17" t="s">
        <v>39</v>
      </c>
      <c r="C35" s="17">
        <v>0.88053956382480914</v>
      </c>
      <c r="D35" s="17"/>
      <c r="E35" s="17"/>
      <c r="F35" s="17"/>
      <c r="G35" s="17"/>
      <c r="H35" s="17"/>
      <c r="I35" s="17"/>
      <c r="J35" s="17"/>
    </row>
    <row r="36" spans="2:10" x14ac:dyDescent="0.45">
      <c r="B36" s="17" t="s">
        <v>40</v>
      </c>
      <c r="C36" s="17">
        <v>453.83637669754154</v>
      </c>
      <c r="D36" s="17"/>
      <c r="E36" s="17"/>
      <c r="F36" s="17"/>
      <c r="G36" s="17"/>
      <c r="H36" s="17"/>
      <c r="I36" s="17"/>
      <c r="J36" s="17"/>
    </row>
    <row r="37" spans="2:10" ht="14.65" thickBot="1" x14ac:dyDescent="0.5">
      <c r="B37" s="19" t="s">
        <v>41</v>
      </c>
      <c r="C37" s="19">
        <v>25</v>
      </c>
      <c r="D37" s="17"/>
      <c r="E37" s="17"/>
      <c r="F37" s="17"/>
      <c r="G37" s="17"/>
      <c r="H37" s="17"/>
      <c r="I37" s="17"/>
      <c r="J37" s="17"/>
    </row>
    <row r="38" spans="2:10" x14ac:dyDescent="0.45">
      <c r="B38" s="17"/>
      <c r="C38" s="17"/>
      <c r="D38" s="17"/>
      <c r="E38" s="17"/>
      <c r="F38" s="17"/>
      <c r="G38" s="17"/>
      <c r="H38" s="17"/>
      <c r="I38" s="17"/>
      <c r="J38" s="17"/>
    </row>
    <row r="39" spans="2:10" ht="14.65" thickBot="1" x14ac:dyDescent="0.5">
      <c r="B39" s="17" t="s">
        <v>42</v>
      </c>
      <c r="C39" s="17"/>
      <c r="D39" s="17"/>
      <c r="E39" s="17"/>
      <c r="F39" s="17"/>
      <c r="G39" s="17"/>
      <c r="H39" s="17"/>
      <c r="I39" s="17"/>
      <c r="J39" s="17"/>
    </row>
    <row r="40" spans="2:10" x14ac:dyDescent="0.45">
      <c r="B40" s="20"/>
      <c r="C40" s="20" t="s">
        <v>47</v>
      </c>
      <c r="D40" s="20" t="s">
        <v>48</v>
      </c>
      <c r="E40" s="20" t="s">
        <v>49</v>
      </c>
      <c r="F40" s="20" t="s">
        <v>50</v>
      </c>
      <c r="G40" s="20" t="s">
        <v>51</v>
      </c>
      <c r="H40" s="17"/>
      <c r="I40" s="17"/>
      <c r="J40" s="17"/>
    </row>
    <row r="41" spans="2:10" x14ac:dyDescent="0.45">
      <c r="B41" s="17" t="s">
        <v>43</v>
      </c>
      <c r="C41" s="17">
        <v>4</v>
      </c>
      <c r="D41" s="17">
        <v>37260199.79057695</v>
      </c>
      <c r="E41" s="17">
        <v>9315049.9476442374</v>
      </c>
      <c r="F41" s="17">
        <v>45.225833691088276</v>
      </c>
      <c r="G41" s="17">
        <v>9.5636512670966236E-10</v>
      </c>
      <c r="H41" s="17"/>
      <c r="I41" s="17"/>
      <c r="J41" s="17"/>
    </row>
    <row r="42" spans="2:10" x14ac:dyDescent="0.45">
      <c r="B42" s="17" t="s">
        <v>44</v>
      </c>
      <c r="C42" s="17">
        <v>20</v>
      </c>
      <c r="D42" s="17">
        <v>4119349.1362790568</v>
      </c>
      <c r="E42" s="17">
        <v>205967.45681395283</v>
      </c>
      <c r="F42" s="17"/>
      <c r="G42" s="17"/>
      <c r="H42" s="17"/>
      <c r="I42" s="17"/>
      <c r="J42" s="17"/>
    </row>
    <row r="43" spans="2:10" ht="14.65" thickBot="1" x14ac:dyDescent="0.5">
      <c r="B43" s="19" t="s">
        <v>45</v>
      </c>
      <c r="C43" s="19">
        <v>24</v>
      </c>
      <c r="D43" s="19">
        <v>41379548.926856004</v>
      </c>
      <c r="E43" s="19"/>
      <c r="F43" s="19"/>
      <c r="G43" s="19"/>
      <c r="H43" s="17"/>
      <c r="I43" s="17"/>
      <c r="J43" s="17"/>
    </row>
    <row r="44" spans="2:10" ht="14.65" thickBot="1" x14ac:dyDescent="0.5">
      <c r="B44" s="17"/>
      <c r="C44" s="17"/>
      <c r="D44" s="17"/>
      <c r="E44" s="17"/>
      <c r="F44" s="17"/>
      <c r="G44" s="17"/>
      <c r="H44" s="17"/>
      <c r="I44" s="17"/>
      <c r="J44" s="17"/>
    </row>
    <row r="45" spans="2:10" x14ac:dyDescent="0.45">
      <c r="B45" s="20"/>
      <c r="C45" s="20" t="s">
        <v>52</v>
      </c>
      <c r="D45" s="20" t="s">
        <v>40</v>
      </c>
      <c r="E45" s="20" t="s">
        <v>53</v>
      </c>
      <c r="F45" s="20" t="s">
        <v>54</v>
      </c>
      <c r="G45" s="20" t="s">
        <v>55</v>
      </c>
      <c r="H45" s="20" t="s">
        <v>56</v>
      </c>
      <c r="I45" s="20" t="s">
        <v>57</v>
      </c>
      <c r="J45" s="20" t="s">
        <v>58</v>
      </c>
    </row>
    <row r="46" spans="2:10" x14ac:dyDescent="0.45">
      <c r="B46" s="17" t="s">
        <v>46</v>
      </c>
      <c r="C46" s="17">
        <v>-1441.932280580827</v>
      </c>
      <c r="D46" s="17">
        <v>423.5818169021137</v>
      </c>
      <c r="E46" s="17">
        <v>-3.4041411199528562</v>
      </c>
      <c r="F46" s="17">
        <v>2.8143510209571124E-3</v>
      </c>
      <c r="G46" s="17">
        <v>-2325.5084675650983</v>
      </c>
      <c r="H46" s="17">
        <v>-558.35609359655552</v>
      </c>
      <c r="I46" s="17">
        <v>-2325.5084675650983</v>
      </c>
      <c r="J46" s="17">
        <v>-558.35609359655552</v>
      </c>
    </row>
    <row r="47" spans="2:10" x14ac:dyDescent="0.45">
      <c r="B47" s="17" t="s">
        <v>90</v>
      </c>
      <c r="C47" s="17">
        <v>3.8217461136388887E-2</v>
      </c>
      <c r="D47" s="17">
        <v>7.9769479862303559E-3</v>
      </c>
      <c r="E47" s="17">
        <v>4.7909878818765126</v>
      </c>
      <c r="F47" s="17">
        <v>1.1130327488749973E-4</v>
      </c>
      <c r="G47" s="17">
        <v>2.1577839216371315E-2</v>
      </c>
      <c r="H47" s="17">
        <v>5.4857083056406464E-2</v>
      </c>
      <c r="I47" s="17">
        <v>2.1577839216371315E-2</v>
      </c>
      <c r="J47" s="17">
        <v>5.4857083056406464E-2</v>
      </c>
    </row>
    <row r="48" spans="2:10" x14ac:dyDescent="0.45">
      <c r="B48" s="17" t="s">
        <v>91</v>
      </c>
      <c r="C48" s="17">
        <v>0.17499017537034098</v>
      </c>
      <c r="D48" s="17">
        <v>3.6906717079025521E-2</v>
      </c>
      <c r="E48" s="17">
        <v>4.7414180729119835</v>
      </c>
      <c r="F48" s="17">
        <v>1.2484009004529303E-4</v>
      </c>
      <c r="G48" s="17">
        <v>9.800411258491093E-2</v>
      </c>
      <c r="H48" s="17">
        <v>0.25197623815577103</v>
      </c>
      <c r="I48" s="17">
        <v>9.800411258491093E-2</v>
      </c>
      <c r="J48" s="17">
        <v>0.25197623815577103</v>
      </c>
    </row>
    <row r="49" spans="2:10" x14ac:dyDescent="0.45">
      <c r="B49" s="17" t="s">
        <v>92</v>
      </c>
      <c r="C49" s="17">
        <v>190.14419239922984</v>
      </c>
      <c r="D49" s="17">
        <v>49.744183957931988</v>
      </c>
      <c r="E49" s="17">
        <v>3.8224406809051752</v>
      </c>
      <c r="F49" s="17">
        <v>1.0652502021185873E-3</v>
      </c>
      <c r="G49" s="17">
        <v>86.379642948914693</v>
      </c>
      <c r="H49" s="17">
        <v>293.90874184954498</v>
      </c>
      <c r="I49" s="17">
        <v>86.379642948914693</v>
      </c>
      <c r="J49" s="17">
        <v>293.90874184954498</v>
      </c>
    </row>
    <row r="50" spans="2:10" ht="14.65" thickBot="1" x14ac:dyDescent="0.5">
      <c r="B50" s="19" t="s">
        <v>94</v>
      </c>
      <c r="C50" s="19">
        <v>9.2139224338604837</v>
      </c>
      <c r="D50" s="19">
        <v>2.8652133000901472</v>
      </c>
      <c r="E50" s="19">
        <v>3.2157893562655837</v>
      </c>
      <c r="F50" s="19">
        <v>4.337000770151085E-3</v>
      </c>
      <c r="G50" s="19">
        <v>3.2371922212524353</v>
      </c>
      <c r="H50" s="19">
        <v>15.190652646468532</v>
      </c>
      <c r="I50" s="19">
        <v>3.2371922212524353</v>
      </c>
      <c r="J50" s="19">
        <v>15.190652646468532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8ab</vt:lpstr>
      <vt:lpstr>8c</vt:lpstr>
      <vt:lpstr>19</vt:lpstr>
      <vt:lpstr>24</vt:lpstr>
      <vt:lpstr>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Wood</dc:creator>
  <cp:lastModifiedBy>Brendan Wood</cp:lastModifiedBy>
  <dcterms:created xsi:type="dcterms:W3CDTF">2024-02-28T21:44:39Z</dcterms:created>
  <dcterms:modified xsi:type="dcterms:W3CDTF">2026-04-10T00:05:48Z</dcterms:modified>
</cp:coreProperties>
</file>